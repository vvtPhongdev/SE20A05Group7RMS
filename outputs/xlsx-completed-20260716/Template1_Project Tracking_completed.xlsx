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00" yWindow="500" windowWidth="24700" windowHeight="16240" tabRatio="600" firstSheet="0" activeTab="0" autoFilterDateGrouping="1"/>
  </bookViews>
  <sheets>
    <sheet name="Project" sheetId="1" state="visible" r:id="rId1"/>
    <sheet name="Iter1" sheetId="2" state="visible" r:id="rId2"/>
    <sheet name="Iter2" sheetId="3" state="visible" r:id="rId3"/>
    <sheet name="Iter3" sheetId="4" state="visible" r:id="rId4"/>
    <sheet name="Iter4" sheetId="5" state="visible" r:id="rId5"/>
    <sheet name="Release Gates" sheetId="6" state="visible" r:id="rId6"/>
  </sheets>
  <definedNames>
    <definedName name="_xlnm._FilterDatabase" localSheetId="0" hidden="1">'Project'!$A$3:$J$38</definedName>
    <definedName name="_xlnm.Print_Titles" localSheetId="0">'Project'!$1:$3</definedName>
    <definedName name="_xlnm.Print_Area" localSheetId="0">'Project'!$A$1:$J$38</definedName>
    <definedName name="_xlnm._FilterDatabase" localSheetId="1" hidden="1">'Iter1'!$A$5:$I$9</definedName>
    <definedName name="_xlnm.Print_Titles" localSheetId="1">'Iter1'!$1:$5</definedName>
    <definedName name="_xlnm.Print_Area" localSheetId="1">'Iter1'!$A$1:$I$9</definedName>
    <definedName name="_xlnm._FilterDatabase" localSheetId="2" hidden="1">'Iter2'!$A$5:$I$9</definedName>
    <definedName name="_xlnm.Print_Titles" localSheetId="2">'Iter2'!$1:$5</definedName>
    <definedName name="_xlnm.Print_Area" localSheetId="2">'Iter2'!$A$1:$I$9</definedName>
    <definedName name="_xlnm._FilterDatabase" localSheetId="3" hidden="1">'Iter3'!$A$5:$I$9</definedName>
    <definedName name="_xlnm.Print_Titles" localSheetId="3">'Iter3'!$1:$5</definedName>
    <definedName name="_xlnm.Print_Area" localSheetId="3">'Iter3'!$A$1:$I$9</definedName>
    <definedName name="_xlnm._FilterDatabase" localSheetId="4" hidden="1">'Iter4'!$A$5:$I$10</definedName>
    <definedName name="_xlnm.Print_Titles" localSheetId="4">'Iter4'!$1:$5</definedName>
    <definedName name="_xlnm.Print_Area" localSheetId="4">'Iter4'!$A$1:$I$10</definedName>
    <definedName name="_xlnm._FilterDatabase" localSheetId="5" hidden="1">'Release Gates'!$A$4:$D$11</definedName>
    <definedName name="_xlnm.Print_Titles" localSheetId="5">'Release Gates'!$4:$4</definedName>
    <definedName name="_xlnm.Print_Area" localSheetId="5">'Release Gates'!$A$1:$D$14</definedName>
  </definedNames>
  <calcPr calcId="179021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17">
    <font>
      <name val="Arial"/>
      <color rgb="FF000000"/>
      <sz val="10"/>
    </font>
    <font>
      <name val="Calibri"/>
      <family val="2"/>
      <color theme="1"/>
      <sz val="12"/>
      <scheme val="minor"/>
    </font>
    <font>
      <name val="Arial"/>
      <family val="2"/>
      <color rgb="FF000000"/>
      <sz val="10"/>
    </font>
    <font>
      <name val="Arial"/>
      <family val="2"/>
      <sz val="10"/>
    </font>
    <font>
      <name val="Arial"/>
      <family val="2"/>
      <b val="1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4"/>
    </font>
    <font>
      <name val="Arial"/>
      <family val="2"/>
      <i val="1"/>
      <color rgb="FFC00000"/>
      <sz val="10"/>
    </font>
    <font>
      <name val="Arial"/>
      <b val="1"/>
      <sz val="14"/>
    </font>
    <font>
      <name val="Arial"/>
      <b val="1"/>
      <color rgb="00000000"/>
      <sz val="10"/>
    </font>
    <font>
      <name val="Arial"/>
      <sz val="9"/>
    </font>
    <font>
      <name val="Arial"/>
      <color rgb="000563C1"/>
      <sz val="9"/>
      <u val="single"/>
    </font>
    <font>
      <name val="Arial"/>
      <b val="1"/>
      <sz val="10"/>
    </font>
    <font>
      <name val="Arial"/>
      <color rgb="000563C1"/>
      <sz val="10"/>
      <u val="single"/>
    </font>
  </fonts>
  <fills count="7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7CAAC"/>
        <bgColor rgb="FFF7CAAC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4">
    <xf numFmtId="0" fontId="0" fillId="0" borderId="0"/>
    <xf numFmtId="0" fontId="2" fillId="0" borderId="0"/>
    <xf numFmtId="0" fontId="2" fillId="0" borderId="0"/>
    <xf numFmtId="0" fontId="1" fillId="0" borderId="0"/>
  </cellStyleXfs>
  <cellXfs count="26">
    <xf numFmtId="0" fontId="0" fillId="0" borderId="0" pivotButton="0" quotePrefix="0" xfId="0"/>
    <xf numFmtId="0" fontId="2" fillId="0" borderId="0" applyAlignment="1" pivotButton="0" quotePrefix="0" xfId="1">
      <alignment horizontal="center" vertical="top"/>
    </xf>
    <xf numFmtId="0" fontId="2" fillId="0" borderId="0" applyAlignment="1" pivotButton="0" quotePrefix="0" xfId="1">
      <alignment vertical="top"/>
    </xf>
    <xf numFmtId="0" fontId="3" fillId="0" borderId="1" applyAlignment="1" pivotButton="0" quotePrefix="0" xfId="1">
      <alignment horizontal="center" vertical="top"/>
    </xf>
    <xf numFmtId="0" fontId="3" fillId="0" borderId="1" applyAlignment="1" pivotButton="0" quotePrefix="0" xfId="1">
      <alignment vertical="top"/>
    </xf>
    <xf numFmtId="0" fontId="3" fillId="0" borderId="1" applyAlignment="1" pivotButton="0" quotePrefix="0" xfId="1">
      <alignment vertical="top" wrapText="1"/>
    </xf>
    <xf numFmtId="0" fontId="4" fillId="2" borderId="1" applyAlignment="1" pivotButton="0" quotePrefix="0" xfId="1">
      <alignment vertical="top"/>
    </xf>
    <xf numFmtId="0" fontId="3" fillId="2" borderId="1" applyAlignment="1" pivotButton="0" quotePrefix="0" xfId="1">
      <alignment horizontal="left" vertical="top"/>
    </xf>
    <xf numFmtId="0" fontId="8" fillId="3" borderId="1" applyAlignment="1" pivotButton="0" quotePrefix="0" xfId="0">
      <alignment horizontal="left" vertical="top" wrapText="1"/>
    </xf>
    <xf numFmtId="0" fontId="7" fillId="0" borderId="1" applyAlignment="1" pivotButton="0" quotePrefix="0" xfId="2">
      <alignment horizontal="left" vertical="top" wrapText="1"/>
    </xf>
    <xf numFmtId="0" fontId="9" fillId="0" borderId="0" applyAlignment="1" pivotButton="0" quotePrefix="0" xfId="1">
      <alignment horizontal="left" vertical="top"/>
    </xf>
    <xf numFmtId="0" fontId="10" fillId="0" borderId="0" applyAlignment="1" pivotButton="0" quotePrefix="0" xfId="1">
      <alignment horizontal="left" vertical="top"/>
    </xf>
    <xf numFmtId="0" fontId="9" fillId="0" borderId="0" applyAlignment="1" pivotButton="0" quotePrefix="0" xfId="0">
      <alignment horizontal="left"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3" fillId="0" borderId="1" applyAlignment="1" pivotButton="0" quotePrefix="1" xfId="1">
      <alignment vertical="top" wrapText="1"/>
    </xf>
    <xf numFmtId="0" fontId="7" fillId="0" borderId="1" applyAlignment="1" pivotButton="0" quotePrefix="0" xfId="2">
      <alignment vertical="top" wrapText="1"/>
    </xf>
    <xf numFmtId="164" fontId="3" fillId="0" borderId="1" applyAlignment="1" pivotButton="0" quotePrefix="0" xfId="1">
      <alignment vertical="top" wrapText="1"/>
    </xf>
    <xf numFmtId="0" fontId="2" fillId="0" borderId="1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vertical="top" wrapText="1"/>
    </xf>
    <xf numFmtId="0" fontId="14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center" wrapText="1"/>
    </xf>
  </cellXfs>
  <cellStyles count="4">
    <cellStyle name="Normal" xfId="0" builtinId="0"/>
    <cellStyle name="Normal 2" xfId="1"/>
    <cellStyle name="Normal 3" xfId="2"/>
    <cellStyle name="Normal 4" xfId="3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KienNT</author>
  </authors>
  <commentList>
    <comment ref="G5" authorId="0" shapeId="0">
      <text>
        <t>KienNT:
The name of section in the SRS (software requirement specification) document</t>
      </text>
    </comment>
    <comment ref="H5" authorId="0" shapeId="0">
      <text>
        <t>KienNT:
The name of section in the SDS (software design specification) document</t>
      </text>
    </comment>
  </commentList>
</comments>
</file>

<file path=xl/comments/comment2.xml><?xml version="1.0" encoding="utf-8"?>
<comments xmlns="http://schemas.openxmlformats.org/spreadsheetml/2006/main">
  <authors>
    <author>KienNT</author>
  </authors>
  <commentList>
    <comment ref="G5" authorId="0" shapeId="0">
      <text>
        <t>KienNT:
The name of section in the SRS (software requirement specification) document</t>
      </text>
    </comment>
    <comment ref="H5" authorId="0" shapeId="0">
      <text>
        <t>KienNT:
The name of section in the SDS (software design specification) document</t>
      </text>
    </comment>
  </commentList>
</comments>
</file>

<file path=xl/comments/comment3.xml><?xml version="1.0" encoding="utf-8"?>
<comments xmlns="http://schemas.openxmlformats.org/spreadsheetml/2006/main">
  <authors>
    <author>KienNT</author>
  </authors>
  <commentList>
    <comment ref="G5" authorId="0" shapeId="0">
      <text>
        <t>KienNT:
The name of section in the SRS (software requirement specification) document</t>
      </text>
    </comment>
    <comment ref="H5" authorId="0" shapeId="0">
      <text>
        <t>KienNT:
The name of section in the SDS (software design specification) document</t>
      </text>
    </comment>
  </commentList>
</comments>
</file>

<file path=xl/comments/comment4.xml><?xml version="1.0" encoding="utf-8"?>
<comments xmlns="http://schemas.openxmlformats.org/spreadsheetml/2006/main">
  <authors>
    <author>KienNT</author>
  </authors>
  <commentList>
    <comment ref="G5" authorId="0" shapeId="0">
      <text>
        <t>KienNT:
The name of section in the SRS (software requirement specification) document</t>
      </text>
    </comment>
    <comment ref="H5" authorId="0" shapeId="0">
      <text>
        <t>KienNT:
The name of section in the SDS (software design specification) document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vvtPhongdev/SE20A05Group7RMS/blob/main/reports/Template1_Project%20Tracking.md" TargetMode="External" Id="rId1" /><Relationship Type="http://schemas.openxmlformats.org/officeDocument/2006/relationships/hyperlink" Target="https://github.com/vvtPhongdev/SE20A05Group7RMS/issues/213" TargetMode="External" Id="rId2" /><Relationship Type="http://schemas.openxmlformats.org/officeDocument/2006/relationships/hyperlink" Target="https://github.com/vvtPhongdev/SE20A05Group7RMS/issues/214" TargetMode="External" Id="rId3" /><Relationship Type="http://schemas.openxmlformats.org/officeDocument/2006/relationships/hyperlink" Target="https://github.com/vvtPhongdev/SE20A05Group7RMS/issues/215" TargetMode="External" Id="rId4" /><Relationship Type="http://schemas.openxmlformats.org/officeDocument/2006/relationships/hyperlink" Target="https://github.com/vvtPhongdev/SE20A05Group7RMS/issues/223" TargetMode="External" Id="rId5" /><Relationship Type="http://schemas.openxmlformats.org/officeDocument/2006/relationships/hyperlink" Target="https://github.com/vvtPhongdev/SE20A05Group7RMS/issues/224" TargetMode="External" Id="rId6" /><Relationship Type="http://schemas.openxmlformats.org/officeDocument/2006/relationships/hyperlink" Target="https://github.com/vvtPhongdev/SE20A05Group7RMS/issues/227" TargetMode="External" Id="rId7" /><Relationship Type="http://schemas.openxmlformats.org/officeDocument/2006/relationships/hyperlink" Target="https://github.com/vvtPhongdev/SE20A05Group7RMS/issues/186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J100"/>
  <sheetViews>
    <sheetView showGridLines="0" tabSelected="1" zoomScale="110" zoomScaleNormal="110" workbookViewId="0">
      <pane ySplit="3" topLeftCell="A4" activePane="bottomLeft" state="frozen"/>
      <selection pane="bottomLeft" activeCell="A1" sqref="A1"/>
    </sheetView>
  </sheetViews>
  <sheetFormatPr baseColWidth="10" defaultRowHeight="13"/>
  <cols>
    <col width="5" customWidth="1" style="1" min="1" max="1"/>
    <col width="34" bestFit="1" customWidth="1" style="2" min="2" max="2"/>
    <col width="24" customWidth="1" style="2" min="3" max="3"/>
    <col width="18" customWidth="1" style="2" min="4" max="4"/>
    <col width="58" bestFit="1" customWidth="1" style="2" min="5" max="5"/>
    <col width="16" bestFit="1" customWidth="1" style="2" min="6" max="6"/>
    <col width="28" bestFit="1" customWidth="1" style="2" min="7" max="7"/>
    <col width="18" customWidth="1" style="2" min="8" max="9"/>
    <col width="13" customWidth="1" min="9" max="9"/>
    <col width="34" customWidth="1" style="2" min="10" max="10"/>
    <col width="10.83203125" customWidth="1" style="2" min="11" max="16384"/>
  </cols>
  <sheetData>
    <row r="1" ht="18" customHeight="1">
      <c r="A1" s="10" t="inlineStr">
        <is>
          <t>RMS Total Project Tracking</t>
        </is>
      </c>
    </row>
    <row r="2">
      <c r="A2" s="11" t="inlineStr">
        <is>
          <t>Release 1.0-RC1 | Baseline 2026-07-15 | Product register mapped to RDS/SDS and iteration evidence</t>
        </is>
      </c>
    </row>
    <row r="3">
      <c r="A3" s="7" t="inlineStr">
        <is>
          <t>#</t>
        </is>
      </c>
      <c r="B3" s="6" t="inlineStr">
        <is>
          <t>Screen/Function</t>
        </is>
      </c>
      <c r="C3" s="6" t="inlineStr">
        <is>
          <t>Feature</t>
        </is>
      </c>
      <c r="D3" s="6" t="inlineStr">
        <is>
          <t>Actor</t>
        </is>
      </c>
      <c r="E3" s="6" t="inlineStr">
        <is>
          <t>Screen/Function Description</t>
        </is>
      </c>
      <c r="F3" s="6" t="inlineStr">
        <is>
          <t>In Charge</t>
        </is>
      </c>
      <c r="G3" s="6" t="inlineStr">
        <is>
          <t>Status</t>
        </is>
      </c>
      <c r="H3" s="6" t="inlineStr">
        <is>
          <t>Actual</t>
        </is>
      </c>
      <c r="I3" s="6" t="inlineStr">
        <is>
          <t>Updated</t>
        </is>
      </c>
      <c r="J3" s="6" t="inlineStr">
        <is>
          <t>Update Details</t>
        </is>
      </c>
    </row>
    <row r="4" ht="58" customHeight="1">
      <c r="A4" s="5">
        <f>ROW()-3</f>
        <v/>
      </c>
      <c r="B4" s="5" t="inlineStr">
        <is>
          <t>Login, registration, OTP, password reset</t>
        </is>
      </c>
      <c r="C4" s="5" t="inlineStr">
        <is>
          <t>Authentication</t>
        </is>
      </c>
      <c r="D4" s="5" t="inlineStr">
        <is>
          <t>All</t>
        </is>
      </c>
      <c r="E4" s="5" t="inlineStr">
        <is>
          <t>Account and session lifecycle, including Google/Supabase-backed flow</t>
        </is>
      </c>
      <c r="F4" s="16" t="inlineStr">
        <is>
          <t>WS-3/WS-4</t>
        </is>
      </c>
      <c r="G4" s="5" t="inlineStr">
        <is>
          <t>Validation pending (#214)</t>
        </is>
      </c>
      <c r="H4" s="5" t="inlineStr">
        <is>
          <t>Iter4 hardening</t>
        </is>
      </c>
      <c r="I4" s="17" t="n">
        <v>46218</v>
      </c>
      <c r="J4" s="5" t="inlineStr">
        <is>
          <t>Planned: Iter1 | Trace: RDS 4.1 / SDS 4.1</t>
        </is>
      </c>
    </row>
    <row r="5" ht="58" customHeight="1">
      <c r="A5" s="5">
        <f>ROW()-3</f>
        <v/>
      </c>
      <c r="B5" s="5" t="inlineStr">
        <is>
          <t>Admin Dashboard</t>
        </is>
      </c>
      <c r="C5" s="5" t="inlineStr">
        <is>
          <t>Tracking</t>
        </is>
      </c>
      <c r="D5" s="5" t="inlineStr">
        <is>
          <t>Admin</t>
        </is>
      </c>
      <c r="E5" s="5" t="inlineStr">
        <is>
          <t>Approval, campaign and hiring overview</t>
        </is>
      </c>
      <c r="F5" s="16" t="inlineStr">
        <is>
          <t>WS-2</t>
        </is>
      </c>
      <c r="G5" s="5" t="inlineStr">
        <is>
          <t>Done</t>
        </is>
      </c>
      <c r="H5" s="5" t="inlineStr">
        <is>
          <t>Iter2</t>
        </is>
      </c>
      <c r="I5" s="17" t="n">
        <v>46218</v>
      </c>
      <c r="J5" s="5" t="inlineStr">
        <is>
          <t>Planned: Iter2 | Trace: RDS 4.8 / SDS 4.8</t>
        </is>
      </c>
    </row>
    <row r="6" ht="58" customHeight="1">
      <c r="A6" s="5">
        <f>ROW()-3</f>
        <v/>
      </c>
      <c r="B6" s="5" t="inlineStr">
        <is>
          <t>Admin Approval Queue</t>
        </is>
      </c>
      <c r="C6" s="5" t="inlineStr">
        <is>
          <t>Request/Plan Governance</t>
        </is>
      </c>
      <c r="D6" s="5" t="inlineStr">
        <is>
          <t>Admin</t>
        </is>
      </c>
      <c r="E6" s="5" t="inlineStr">
        <is>
          <t>Approve, reject or request revision for requests/plans</t>
        </is>
      </c>
      <c r="F6" s="16" t="inlineStr">
        <is>
          <t>WS-2/WS-5</t>
        </is>
      </c>
      <c r="G6" s="5" t="inlineStr">
        <is>
          <t>Validation pending (#213)</t>
        </is>
      </c>
      <c r="H6" s="5" t="inlineStr">
        <is>
          <t>Iter3</t>
        </is>
      </c>
      <c r="I6" s="17" t="n">
        <v>46218</v>
      </c>
      <c r="J6" s="5" t="inlineStr">
        <is>
          <t>Planned: Iter2 | Trace: RDS 4.2-4.3 / SDS 4.2-4.3</t>
        </is>
      </c>
    </row>
    <row r="7" ht="58" customHeight="1">
      <c r="A7" s="5">
        <f>ROW()-3</f>
        <v/>
      </c>
      <c r="B7" s="5" t="inlineStr">
        <is>
          <t>Admin All Requests</t>
        </is>
      </c>
      <c r="C7" s="5" t="inlineStr">
        <is>
          <t>Tracking</t>
        </is>
      </c>
      <c r="D7" s="5" t="inlineStr">
        <is>
          <t>Admin</t>
        </is>
      </c>
      <c r="E7" s="5" t="inlineStr">
        <is>
          <t>Global request search, status and timeline</t>
        </is>
      </c>
      <c r="F7" s="16" t="inlineStr">
        <is>
          <t>WS-2</t>
        </is>
      </c>
      <c r="G7" s="5" t="inlineStr">
        <is>
          <t>Done</t>
        </is>
      </c>
      <c r="H7" s="5" t="inlineStr">
        <is>
          <t>Iter3</t>
        </is>
      </c>
      <c r="I7" s="17" t="n">
        <v>46218</v>
      </c>
      <c r="J7" s="5" t="inlineStr">
        <is>
          <t>Planned: Iter2 | Trace: RDS 4.8 / SDS 4.8</t>
        </is>
      </c>
    </row>
    <row r="8" ht="58" customHeight="1">
      <c r="A8" s="5">
        <f>ROW()-3</f>
        <v/>
      </c>
      <c r="B8" s="5" t="inlineStr">
        <is>
          <t>Admin Interview Results</t>
        </is>
      </c>
      <c r="C8" s="5" t="inlineStr">
        <is>
          <t>Hiring Decision</t>
        </is>
      </c>
      <c r="D8" s="5" t="inlineStr">
        <is>
          <t>Admin</t>
        </is>
      </c>
      <c r="E8" s="5" t="inlineStr">
        <is>
          <t>Review feedback and make final hire/reject decision</t>
        </is>
      </c>
      <c r="F8" s="16" t="inlineStr">
        <is>
          <t>WS-1/WS-5</t>
        </is>
      </c>
      <c r="G8" s="5" t="inlineStr">
        <is>
          <t>Validation pending (#213)</t>
        </is>
      </c>
      <c r="H8" s="5" t="inlineStr">
        <is>
          <t>Iter4</t>
        </is>
      </c>
      <c r="I8" s="17" t="n">
        <v>46218</v>
      </c>
      <c r="J8" s="5" t="inlineStr">
        <is>
          <t>Planned: Iter3 | Trace: RDS 4.6 / SDS 4.6</t>
        </is>
      </c>
    </row>
    <row r="9" ht="58" customHeight="1">
      <c r="A9" s="5">
        <f>ROW()-3</f>
        <v/>
      </c>
      <c r="B9" s="5" t="inlineStr">
        <is>
          <t>Admin Users</t>
        </is>
      </c>
      <c r="C9" s="5" t="inlineStr">
        <is>
          <t>Identity</t>
        </is>
      </c>
      <c r="D9" s="5" t="inlineStr">
        <is>
          <t>Admin</t>
        </is>
      </c>
      <c r="E9" s="5" t="inlineStr">
        <is>
          <t>Create/update users, role and active status</t>
        </is>
      </c>
      <c r="F9" s="16" t="inlineStr">
        <is>
          <t>WS-4</t>
        </is>
      </c>
      <c r="G9" s="5" t="inlineStr">
        <is>
          <t>Done</t>
        </is>
      </c>
      <c r="H9" s="5" t="inlineStr">
        <is>
          <t>Iter3</t>
        </is>
      </c>
      <c r="I9" s="17" t="n">
        <v>46218</v>
      </c>
      <c r="J9" s="5" t="inlineStr">
        <is>
          <t>Planned: Iter1 | Trace: RDS 4.1 / SDS 4.1</t>
        </is>
      </c>
    </row>
    <row r="10" ht="58" customHeight="1">
      <c r="A10" s="5">
        <f>ROW()-3</f>
        <v/>
      </c>
      <c r="B10" s="5" t="inlineStr">
        <is>
          <t>Admin Settings</t>
        </is>
      </c>
      <c r="C10" s="5" t="inlineStr">
        <is>
          <t>Organization</t>
        </is>
      </c>
      <c r="D10" s="5" t="inlineStr">
        <is>
          <t>Admin</t>
        </is>
      </c>
      <c r="E10" s="5" t="inlineStr">
        <is>
          <t>Organization and department configuration</t>
        </is>
      </c>
      <c r="F10" s="16" t="inlineStr">
        <is>
          <t>WS-4</t>
        </is>
      </c>
      <c r="G10" s="5" t="inlineStr">
        <is>
          <t>Done</t>
        </is>
      </c>
      <c r="H10" s="5" t="inlineStr">
        <is>
          <t>Iter3</t>
        </is>
      </c>
      <c r="I10" s="17" t="n">
        <v>46218</v>
      </c>
      <c r="J10" s="5" t="inlineStr">
        <is>
          <t>Planned: Iter1 | Trace: RDS 4.1 / SDS 4.1</t>
        </is>
      </c>
    </row>
    <row r="11" ht="58" customHeight="1">
      <c r="A11" s="5">
        <f>ROW()-3</f>
        <v/>
      </c>
      <c r="B11" s="5" t="inlineStr">
        <is>
          <t>Annual Reports</t>
        </is>
      </c>
      <c r="C11" s="5" t="inlineStr">
        <is>
          <t>Reporting</t>
        </is>
      </c>
      <c r="D11" s="5" t="inlineStr">
        <is>
          <t>Admin</t>
        </is>
      </c>
      <c r="E11" s="5" t="inlineStr">
        <is>
          <t>Annual metrics, time-to-hire and export</t>
        </is>
      </c>
      <c r="F11" s="16" t="inlineStr">
        <is>
          <t>WS-2/WS-1</t>
        </is>
      </c>
      <c r="G11" s="5" t="inlineStr">
        <is>
          <t>Done</t>
        </is>
      </c>
      <c r="H11" s="5" t="inlineStr">
        <is>
          <t>Iter4</t>
        </is>
      </c>
      <c r="I11" s="17" t="n">
        <v>46218</v>
      </c>
      <c r="J11" s="5" t="inlineStr">
        <is>
          <t>Planned: Iter4 | Trace: RDS 4.8 / SDS 4.8</t>
        </is>
      </c>
    </row>
    <row r="12" ht="58" customHeight="1">
      <c r="A12" s="5">
        <f>ROW()-3</f>
        <v/>
      </c>
      <c r="B12" s="5" t="inlineStr">
        <is>
          <t>Department Statistics</t>
        </is>
      </c>
      <c r="C12" s="5" t="inlineStr">
        <is>
          <t>Reporting</t>
        </is>
      </c>
      <c r="D12" s="5" t="inlineStr">
        <is>
          <t>Admin</t>
        </is>
      </c>
      <c r="E12" s="5" t="inlineStr">
        <is>
          <t>Department-level recruitment metrics</t>
        </is>
      </c>
      <c r="F12" s="16" t="inlineStr">
        <is>
          <t>WS-2/WS-1</t>
        </is>
      </c>
      <c r="G12" s="5" t="inlineStr">
        <is>
          <t>Done</t>
        </is>
      </c>
      <c r="H12" s="5" t="inlineStr">
        <is>
          <t>Iter4</t>
        </is>
      </c>
      <c r="I12" s="17" t="n">
        <v>46218</v>
      </c>
      <c r="J12" s="5" t="inlineStr">
        <is>
          <t>Planned: Iter4 | Trace: RDS 4.8 / SDS 4.8</t>
        </is>
      </c>
    </row>
    <row r="13" ht="58" customHeight="1">
      <c r="A13" s="5">
        <f>ROW()-3</f>
        <v/>
      </c>
      <c r="B13" s="5" t="inlineStr">
        <is>
          <t>Department Dashboard</t>
        </is>
      </c>
      <c r="C13" s="5" t="inlineStr">
        <is>
          <t>Tracking</t>
        </is>
      </c>
      <c r="D13" s="5" t="inlineStr">
        <is>
          <t>Department Head</t>
        </is>
      </c>
      <c r="E13" s="5" t="inlineStr">
        <is>
          <t>Own department requests, status and progress</t>
        </is>
      </c>
      <c r="F13" s="16" t="inlineStr">
        <is>
          <t>WS-2</t>
        </is>
      </c>
      <c r="G13" s="5" t="inlineStr">
        <is>
          <t>Done</t>
        </is>
      </c>
      <c r="H13" s="5" t="inlineStr">
        <is>
          <t>Iter2</t>
        </is>
      </c>
      <c r="I13" s="17" t="n">
        <v>46218</v>
      </c>
      <c r="J13" s="5" t="inlineStr">
        <is>
          <t>Planned: Iter2 | Trace: RDS 4.8 / SDS 4.8</t>
        </is>
      </c>
    </row>
    <row r="14" ht="58" customHeight="1">
      <c r="A14" s="5">
        <f>ROW()-3</f>
        <v/>
      </c>
      <c r="B14" s="5" t="inlineStr">
        <is>
          <t>Create Request</t>
        </is>
      </c>
      <c r="C14" s="5" t="inlineStr">
        <is>
          <t>Recruitment Request</t>
        </is>
      </c>
      <c r="D14" s="5" t="inlineStr">
        <is>
          <t>Department Head</t>
        </is>
      </c>
      <c r="E14" s="5" t="inlineStr">
        <is>
          <t>Create draft with position, headcount, JD, skills, justification and urgency</t>
        </is>
      </c>
      <c r="F14" s="16" t="inlineStr">
        <is>
          <t>WS-2/WS-1</t>
        </is>
      </c>
      <c r="G14" s="5" t="inlineStr">
        <is>
          <t>Validation pending (#213)</t>
        </is>
      </c>
      <c r="H14" s="5" t="inlineStr">
        <is>
          <t>Iter4 alignment</t>
        </is>
      </c>
      <c r="I14" s="17" t="n">
        <v>46218</v>
      </c>
      <c r="J14" s="5" t="inlineStr">
        <is>
          <t>Planned: Iter2 | Trace: RDS 4.2 / SDS 4.2</t>
        </is>
      </c>
    </row>
    <row r="15" ht="58" customHeight="1">
      <c r="A15" s="5">
        <f>ROW()-3</f>
        <v/>
      </c>
      <c r="B15" s="5" t="inlineStr">
        <is>
          <t>Department Requests</t>
        </is>
      </c>
      <c r="C15" s="5" t="inlineStr">
        <is>
          <t>Recruitment Request</t>
        </is>
      </c>
      <c r="D15" s="5" t="inlineStr">
        <is>
          <t>Department Head</t>
        </is>
      </c>
      <c r="E15" s="5" t="inlineStr">
        <is>
          <t>Edit/resubmit/delete allowed requests and view timeline</t>
        </is>
      </c>
      <c r="F15" s="16" t="inlineStr">
        <is>
          <t>WS-2/WS-3</t>
        </is>
      </c>
      <c r="G15" s="5" t="inlineStr">
        <is>
          <t>Validation pending (#213)</t>
        </is>
      </c>
      <c r="H15" s="5" t="inlineStr">
        <is>
          <t>Iter4 alignment</t>
        </is>
      </c>
      <c r="I15" s="17" t="n">
        <v>46218</v>
      </c>
      <c r="J15" s="5" t="inlineStr">
        <is>
          <t>Planned: Iter2 | Trace: RDS 4.2 / SDS 4.2</t>
        </is>
      </c>
    </row>
    <row r="16" ht="58" customHeight="1">
      <c r="A16" s="5">
        <f>ROW()-3</f>
        <v/>
      </c>
      <c r="B16" s="5" t="inlineStr">
        <is>
          <t>Department Interviews</t>
        </is>
      </c>
      <c r="C16" s="5" t="inlineStr">
        <is>
          <t>Interview</t>
        </is>
      </c>
      <c r="D16" s="5" t="inlineStr">
        <is>
          <t>Department Head</t>
        </is>
      </c>
      <c r="E16" s="5" t="inlineStr">
        <is>
          <t>View invited interviews and attendance</t>
        </is>
      </c>
      <c r="F16" s="16" t="inlineStr">
        <is>
          <t>WS-1/WS-2</t>
        </is>
      </c>
      <c r="G16" s="5" t="inlineStr">
        <is>
          <t>Done</t>
        </is>
      </c>
      <c r="H16" s="5" t="inlineStr">
        <is>
          <t>Iter4</t>
        </is>
      </c>
      <c r="I16" s="17" t="n">
        <v>46218</v>
      </c>
      <c r="J16" s="5" t="inlineStr">
        <is>
          <t>Planned: Iter3 | Trace: RDS 4.5 / SDS 4.5</t>
        </is>
      </c>
    </row>
    <row r="17" ht="58" customHeight="1">
      <c r="A17" s="5">
        <f>ROW()-3</f>
        <v/>
      </c>
      <c r="B17" s="5" t="inlineStr">
        <is>
          <t>Department Feedback</t>
        </is>
      </c>
      <c r="C17" s="5" t="inlineStr">
        <is>
          <t>Interview Result</t>
        </is>
      </c>
      <c r="D17" s="5" t="inlineStr">
        <is>
          <t>Department Head</t>
        </is>
      </c>
      <c r="E17" s="5" t="inlineStr">
        <is>
          <t>Submit panel scores and decision</t>
        </is>
      </c>
      <c r="F17" s="16" t="inlineStr">
        <is>
          <t>WS-1/WS-5</t>
        </is>
      </c>
      <c r="G17" s="5" t="inlineStr">
        <is>
          <t>Done</t>
        </is>
      </c>
      <c r="H17" s="5" t="inlineStr">
        <is>
          <t>Iter4</t>
        </is>
      </c>
      <c r="I17" s="17" t="n">
        <v>46218</v>
      </c>
      <c r="J17" s="5" t="inlineStr">
        <is>
          <t>Planned: Iter3 | Trace: RDS 4.5 / SDS 4.6</t>
        </is>
      </c>
    </row>
    <row r="18" ht="58" customHeight="1">
      <c r="A18" s="5">
        <f>ROW()-3</f>
        <v/>
      </c>
      <c r="B18" s="5" t="inlineStr">
        <is>
          <t>Department Settings</t>
        </is>
      </c>
      <c r="C18" s="5" t="inlineStr">
        <is>
          <t>Organization</t>
        </is>
      </c>
      <c r="D18" s="5" t="inlineStr">
        <is>
          <t>Department Head</t>
        </is>
      </c>
      <c r="E18" s="5" t="inlineStr">
        <is>
          <t>View/update allowed department data and team</t>
        </is>
      </c>
      <c r="F18" s="16" t="inlineStr">
        <is>
          <t>WS-1/WS-2</t>
        </is>
      </c>
      <c r="G18" s="5" t="inlineStr">
        <is>
          <t>Done</t>
        </is>
      </c>
      <c r="H18" s="5" t="inlineStr">
        <is>
          <t>Iter3</t>
        </is>
      </c>
      <c r="I18" s="17" t="n">
        <v>46218</v>
      </c>
      <c r="J18" s="5" t="inlineStr">
        <is>
          <t>Planned: Iter2 | Trace: RDS 4.1 / SDS 4.1</t>
        </is>
      </c>
    </row>
    <row r="19" ht="58" customHeight="1">
      <c r="A19" s="5">
        <f>ROW()-3</f>
        <v/>
      </c>
      <c r="B19" s="5" t="inlineStr">
        <is>
          <t>HR Dashboard</t>
        </is>
      </c>
      <c r="C19" s="5" t="inlineStr">
        <is>
          <t>Tracking</t>
        </is>
      </c>
      <c r="D19" s="5" t="inlineStr">
        <is>
          <t>HR Leader</t>
        </is>
      </c>
      <c r="E19" s="5" t="inlineStr">
        <is>
          <t>Queue, campaign, task and interview summary</t>
        </is>
      </c>
      <c r="F19" s="16" t="inlineStr">
        <is>
          <t>WS-2</t>
        </is>
      </c>
      <c r="G19" s="5" t="inlineStr">
        <is>
          <t>Done</t>
        </is>
      </c>
      <c r="H19" s="5" t="inlineStr">
        <is>
          <t>Iter3</t>
        </is>
      </c>
      <c r="I19" s="17" t="n">
        <v>46218</v>
      </c>
      <c r="J19" s="5" t="inlineStr">
        <is>
          <t>Planned: Iter2 | Trace: RDS 4.8 / SDS 4.8</t>
        </is>
      </c>
    </row>
    <row r="20" ht="58" customHeight="1">
      <c r="A20" s="5">
        <f>ROW()-3</f>
        <v/>
      </c>
      <c r="B20" s="5" t="inlineStr">
        <is>
          <t>HR Request Queue</t>
        </is>
      </c>
      <c r="C20" s="5" t="inlineStr">
        <is>
          <t>Request Review</t>
        </is>
      </c>
      <c r="D20" s="5" t="inlineStr">
        <is>
          <t>HR Leader</t>
        </is>
      </c>
      <c r="E20" s="5" t="inlineStr">
        <is>
          <t>Assign/claim, edit, return and forward requests</t>
        </is>
      </c>
      <c r="F20" s="16" t="inlineStr">
        <is>
          <t>WS-1/WS-3</t>
        </is>
      </c>
      <c r="G20" s="5" t="inlineStr">
        <is>
          <t>Validation pending (#213)</t>
        </is>
      </c>
      <c r="H20" s="5" t="inlineStr">
        <is>
          <t>Iter4 alignment</t>
        </is>
      </c>
      <c r="I20" s="17" t="n">
        <v>46218</v>
      </c>
      <c r="J20" s="5" t="inlineStr">
        <is>
          <t>Planned: Iter2 | Trace: RDS 4.2 / SDS 4.2</t>
        </is>
      </c>
    </row>
    <row r="21" ht="58" customHeight="1">
      <c r="A21" s="5">
        <f>ROW()-3</f>
        <v/>
      </c>
      <c r="B21" s="5" t="inlineStr">
        <is>
          <t>Campaigns and Campaign Detail</t>
        </is>
      </c>
      <c r="C21" s="5" t="inlineStr">
        <is>
          <t>Planning</t>
        </is>
      </c>
      <c r="D21" s="5" t="inlineStr">
        <is>
          <t>HR Leader</t>
        </is>
      </c>
      <c r="E21" s="5" t="inlineStr">
        <is>
          <t>Create, submit, resubmit and start OverallPlan</t>
        </is>
      </c>
      <c r="F21" s="16" t="inlineStr">
        <is>
          <t>WS-1/WS-5</t>
        </is>
      </c>
      <c r="G21" s="5" t="inlineStr">
        <is>
          <t>Validation pending (#213)</t>
        </is>
      </c>
      <c r="H21" s="5" t="inlineStr">
        <is>
          <t>Iter4</t>
        </is>
      </c>
      <c r="I21" s="17" t="n">
        <v>46218</v>
      </c>
      <c r="J21" s="5" t="inlineStr">
        <is>
          <t>Planned: Iter2 | Trace: RDS 4.3 / SDS 4.3</t>
        </is>
      </c>
    </row>
    <row r="22" ht="58" customHeight="1">
      <c r="A22" s="5">
        <f>ROW()-3</f>
        <v/>
      </c>
      <c r="B22" s="5" t="inlineStr">
        <is>
          <t>Task Planner</t>
        </is>
      </c>
      <c r="C22" s="5" t="inlineStr">
        <is>
          <t>Planning</t>
        </is>
      </c>
      <c r="D22" s="5" t="inlineStr">
        <is>
          <t>HR Leader</t>
        </is>
      </c>
      <c r="E22" s="5" t="inlineStr">
        <is>
          <t>Create, assign and update dated campaign tasks</t>
        </is>
      </c>
      <c r="F22" s="16" t="inlineStr">
        <is>
          <t>WS-1/WS-5</t>
        </is>
      </c>
      <c r="G22" s="5" t="inlineStr">
        <is>
          <t>Done</t>
        </is>
      </c>
      <c r="H22" s="5" t="inlineStr">
        <is>
          <t>Iter4</t>
        </is>
      </c>
      <c r="I22" s="17" t="n">
        <v>46218</v>
      </c>
      <c r="J22" s="5" t="inlineStr">
        <is>
          <t>Planned: Iter2 | Trace: RDS 4.3 / SDS 4.3</t>
        </is>
      </c>
    </row>
    <row r="23" ht="58" customHeight="1">
      <c r="A23" s="5">
        <f>ROW()-3</f>
        <v/>
      </c>
      <c r="B23" s="5" t="inlineStr">
        <is>
          <t>Job Posting Workspace</t>
        </is>
      </c>
      <c r="C23" s="5" t="inlineStr">
        <is>
          <t>Job Posting</t>
        </is>
      </c>
      <c r="D23" s="5" t="inlineStr">
        <is>
          <t>HR Leader/Admin</t>
        </is>
      </c>
      <c r="E23" s="5" t="inlineStr">
        <is>
          <t>Draft, upload media, publish and close posting</t>
        </is>
      </c>
      <c r="F23" s="16" t="inlineStr">
        <is>
          <t>WS-4</t>
        </is>
      </c>
      <c r="G23" s="5" t="inlineStr">
        <is>
          <t>Done</t>
        </is>
      </c>
      <c r="H23" s="5" t="inlineStr">
        <is>
          <t>Iter4</t>
        </is>
      </c>
      <c r="I23" s="17" t="n">
        <v>46218</v>
      </c>
      <c r="J23" s="5" t="inlineStr">
        <is>
          <t>Planned: Iter3 | Trace: RDS 4.4 / SDS 4.3</t>
        </is>
      </c>
    </row>
    <row r="24" ht="58" customHeight="1">
      <c r="A24" s="5">
        <f>ROW()-3</f>
        <v/>
      </c>
      <c r="B24" s="5" t="inlineStr">
        <is>
          <t>Talent Pool</t>
        </is>
      </c>
      <c r="C24" s="5" t="inlineStr">
        <is>
          <t>Candidate Management</t>
        </is>
      </c>
      <c r="D24" s="5" t="inlineStr">
        <is>
          <t>HR Leader</t>
        </is>
      </c>
      <c r="E24" s="5" t="inlineStr">
        <is>
          <t>Browse candidate profile and current CV</t>
        </is>
      </c>
      <c r="F24" s="16" t="inlineStr">
        <is>
          <t>WS-1/WS-4</t>
        </is>
      </c>
      <c r="G24" s="5" t="inlineStr">
        <is>
          <t>Done</t>
        </is>
      </c>
      <c r="H24" s="5" t="inlineStr">
        <is>
          <t>Iter3</t>
        </is>
      </c>
      <c r="I24" s="17" t="n">
        <v>46218</v>
      </c>
      <c r="J24" s="5" t="inlineStr">
        <is>
          <t>Planned: Iter3 | Trace: RDS 4.4 / SDS 4.4</t>
        </is>
      </c>
    </row>
    <row r="25" ht="58" customHeight="1">
      <c r="A25" s="5">
        <f>ROW()-3</f>
        <v/>
      </c>
      <c r="B25" s="5" t="inlineStr">
        <is>
          <t>Candidate Search</t>
        </is>
      </c>
      <c r="C25" s="5" t="inlineStr">
        <is>
          <t>CV Search</t>
        </is>
      </c>
      <c r="D25" s="5" t="inlineStr">
        <is>
          <t>HR Leader</t>
        </is>
      </c>
      <c r="E25" s="5" t="inlineStr">
        <is>
          <t>Vector/hybrid search, shortlist and feedback</t>
        </is>
      </c>
      <c r="F25" s="16" t="inlineStr">
        <is>
          <t>WS-4/WS-3</t>
        </is>
      </c>
      <c r="G25" s="5" t="inlineStr">
        <is>
          <t>Validation pending (#215)</t>
        </is>
      </c>
      <c r="H25" s="5" t="inlineStr">
        <is>
          <t>Iter4</t>
        </is>
      </c>
      <c r="I25" s="17" t="n">
        <v>46218</v>
      </c>
      <c r="J25" s="5" t="inlineStr">
        <is>
          <t>Planned: Iter3 | Trace: RDS 4.4 / SDS 4.4</t>
        </is>
      </c>
    </row>
    <row r="26" ht="58" customHeight="1">
      <c r="A26" s="5">
        <f>ROW()-3</f>
        <v/>
      </c>
      <c r="B26" s="5" t="inlineStr">
        <is>
          <t>Interview Schedule</t>
        </is>
      </c>
      <c r="C26" s="5" t="inlineStr">
        <is>
          <t>Interview</t>
        </is>
      </c>
      <c r="D26" s="5" t="inlineStr">
        <is>
          <t>HR Leader</t>
        </is>
      </c>
      <c r="E26" s="5" t="inlineStr">
        <is>
          <t>Plan-locked schedule, panel validation, conflicts and invitations</t>
        </is>
      </c>
      <c r="F26" s="16" t="inlineStr">
        <is>
          <t>WS-1/WS-5</t>
        </is>
      </c>
      <c r="G26" s="5" t="inlineStr">
        <is>
          <t>Done</t>
        </is>
      </c>
      <c r="H26" s="5" t="inlineStr">
        <is>
          <t>Iter4</t>
        </is>
      </c>
      <c r="I26" s="17" t="n">
        <v>46218</v>
      </c>
      <c r="J26" s="5" t="inlineStr">
        <is>
          <t>Planned: Iter3 | Trace: RDS 4.5 / SDS 4.5</t>
        </is>
      </c>
    </row>
    <row r="27" ht="58" customHeight="1">
      <c r="A27" s="5">
        <f>ROW()-3</f>
        <v/>
      </c>
      <c r="B27" s="5" t="inlineStr">
        <is>
          <t>Interview Detail</t>
        </is>
      </c>
      <c r="C27" s="5" t="inlineStr">
        <is>
          <t>Interview</t>
        </is>
      </c>
      <c r="D27" s="5" t="inlineStr">
        <is>
          <t>HR Leader</t>
        </is>
      </c>
      <c r="E27" s="5" t="inlineStr">
        <is>
          <t>Candidate, panel attendance, invitation and result details</t>
        </is>
      </c>
      <c r="F27" s="16" t="inlineStr">
        <is>
          <t>WS-1/WS-2</t>
        </is>
      </c>
      <c r="G27" s="5" t="inlineStr">
        <is>
          <t>Done</t>
        </is>
      </c>
      <c r="H27" s="5" t="inlineStr">
        <is>
          <t>Iter4</t>
        </is>
      </c>
      <c r="I27" s="17" t="n">
        <v>46218</v>
      </c>
      <c r="J27" s="5" t="inlineStr">
        <is>
          <t>Planned: Iter3 | Trace: RDS 4.5 / SDS 4.5</t>
        </is>
      </c>
    </row>
    <row r="28" ht="58" customHeight="1">
      <c r="A28" s="5">
        <f>ROW()-3</f>
        <v/>
      </c>
      <c r="B28" s="5" t="inlineStr">
        <is>
          <t>Interview Results</t>
        </is>
      </c>
      <c r="C28" s="5" t="inlineStr">
        <is>
          <t>Interview Result</t>
        </is>
      </c>
      <c r="D28" s="5" t="inlineStr">
        <is>
          <t>HR Leader</t>
        </is>
      </c>
      <c r="E28" s="5" t="inlineStr">
        <is>
          <t>Own feedback plus final recommendation to Admin</t>
        </is>
      </c>
      <c r="F28" s="16" t="inlineStr">
        <is>
          <t>WS-1/WS-5</t>
        </is>
      </c>
      <c r="G28" s="5" t="inlineStr">
        <is>
          <t>Done</t>
        </is>
      </c>
      <c r="H28" s="5" t="inlineStr">
        <is>
          <t>Iter4</t>
        </is>
      </c>
      <c r="I28" s="17" t="n">
        <v>46218</v>
      </c>
      <c r="J28" s="5" t="inlineStr">
        <is>
          <t>Planned: Iter3 | Trace: RDS 4.5-4.6 / SDS 4.6</t>
        </is>
      </c>
    </row>
    <row r="29" ht="58" customHeight="1">
      <c r="A29" s="5">
        <f>ROW()-3</f>
        <v/>
      </c>
      <c r="B29" s="5" t="inlineStr">
        <is>
          <t>Pipeline Reports</t>
        </is>
      </c>
      <c r="C29" s="5" t="inlineStr">
        <is>
          <t>Reporting</t>
        </is>
      </c>
      <c r="D29" s="5" t="inlineStr">
        <is>
          <t>HR Leader</t>
        </is>
      </c>
      <c r="E29" s="5" t="inlineStr">
        <is>
          <t>Pipeline overview and time-to-hire metrics</t>
        </is>
      </c>
      <c r="F29" s="16" t="inlineStr">
        <is>
          <t>WS-4/WS-1</t>
        </is>
      </c>
      <c r="G29" s="5" t="inlineStr">
        <is>
          <t>Done</t>
        </is>
      </c>
      <c r="H29" s="5" t="inlineStr">
        <is>
          <t>Iter4</t>
        </is>
      </c>
      <c r="I29" s="17" t="n">
        <v>46218</v>
      </c>
      <c r="J29" s="5" t="inlineStr">
        <is>
          <t>Planned: Iter4 | Trace: RDS 4.8 / SDS 4.8</t>
        </is>
      </c>
    </row>
    <row r="30" ht="58" customHeight="1">
      <c r="A30" s="5">
        <f>ROW()-3</f>
        <v/>
      </c>
      <c r="B30" s="5" t="inlineStr">
        <is>
          <t>HR Notifications</t>
        </is>
      </c>
      <c r="C30" s="5" t="inlineStr">
        <is>
          <t>Communications</t>
        </is>
      </c>
      <c r="D30" s="5" t="inlineStr">
        <is>
          <t>HR Leader</t>
        </is>
      </c>
      <c r="E30" s="5" t="inlineStr">
        <is>
          <t>In-app/SSE notification history and read state</t>
        </is>
      </c>
      <c r="F30" s="16" t="inlineStr">
        <is>
          <t>WS-1</t>
        </is>
      </c>
      <c r="G30" s="5" t="inlineStr">
        <is>
          <t>Done</t>
        </is>
      </c>
      <c r="H30" s="5" t="inlineStr">
        <is>
          <t>Iter4</t>
        </is>
      </c>
      <c r="I30" s="17" t="n">
        <v>46218</v>
      </c>
      <c r="J30" s="5" t="inlineStr">
        <is>
          <t>Planned: Iter4 | Trace: RDS 4.7 / SDS 4.7</t>
        </is>
      </c>
    </row>
    <row r="31" ht="58" customHeight="1">
      <c r="A31" s="5">
        <f>ROW()-3</f>
        <v/>
      </c>
      <c r="B31" s="5" t="inlineStr">
        <is>
          <t>Candidate Dashboard/Profile</t>
        </is>
      </c>
      <c r="C31" s="5" t="inlineStr">
        <is>
          <t>Candidate</t>
        </is>
      </c>
      <c r="D31" s="5" t="inlineStr">
        <is>
          <t>Candidate</t>
        </is>
      </c>
      <c r="E31" s="5" t="inlineStr">
        <is>
          <t>Maintain personal profile/avatar and view workflow summary</t>
        </is>
      </c>
      <c r="F31" s="16" t="inlineStr">
        <is>
          <t>WS-2/WS-4</t>
        </is>
      </c>
      <c r="G31" s="5" t="inlineStr">
        <is>
          <t>Done</t>
        </is>
      </c>
      <c r="H31" s="5" t="inlineStr">
        <is>
          <t>Iter3</t>
        </is>
      </c>
      <c r="I31" s="17" t="n">
        <v>46218</v>
      </c>
      <c r="J31" s="5" t="inlineStr">
        <is>
          <t>Planned: Iter2 | Trace: RDS 4.4 / SDS 4.4</t>
        </is>
      </c>
    </row>
    <row r="32" ht="58" customHeight="1">
      <c r="A32" s="5">
        <f>ROW()-3</f>
        <v/>
      </c>
      <c r="B32" s="5" t="inlineStr">
        <is>
          <t>Candidate CV</t>
        </is>
      </c>
      <c r="C32" s="5" t="inlineStr">
        <is>
          <t>CV Intake</t>
        </is>
      </c>
      <c r="D32" s="5" t="inlineStr">
        <is>
          <t>Candidate</t>
        </is>
      </c>
      <c r="E32" s="5" t="inlineStr">
        <is>
          <t>Upload, replace, delete and monitor PDF/DOC/DOCX processing</t>
        </is>
      </c>
      <c r="F32" s="16" t="inlineStr">
        <is>
          <t>WS-1/WS-3</t>
        </is>
      </c>
      <c r="G32" s="5" t="inlineStr">
        <is>
          <t>Validation pending (#215)</t>
        </is>
      </c>
      <c r="H32" s="5" t="inlineStr">
        <is>
          <t>Iter4</t>
        </is>
      </c>
      <c r="I32" s="17" t="n">
        <v>46218</v>
      </c>
      <c r="J32" s="5" t="inlineStr">
        <is>
          <t>Planned: Iter3 | Trace: RDS 4.4 / SDS 4.4</t>
        </is>
      </c>
    </row>
    <row r="33" ht="58" customHeight="1">
      <c r="A33" s="5">
        <f>ROW()-3</f>
        <v/>
      </c>
      <c r="B33" s="5" t="inlineStr">
        <is>
          <t>Candidate Interviews</t>
        </is>
      </c>
      <c r="C33" s="5" t="inlineStr">
        <is>
          <t>Interview</t>
        </is>
      </c>
      <c r="D33" s="5" t="inlineStr">
        <is>
          <t>Candidate</t>
        </is>
      </c>
      <c r="E33" s="5" t="inlineStr">
        <is>
          <t>View schedule and confirm/reschedule/cancel</t>
        </is>
      </c>
      <c r="F33" s="16" t="inlineStr">
        <is>
          <t>WS-2/WS-1</t>
        </is>
      </c>
      <c r="G33" s="5" t="inlineStr">
        <is>
          <t>Done</t>
        </is>
      </c>
      <c r="H33" s="5" t="inlineStr">
        <is>
          <t>Iter4</t>
        </is>
      </c>
      <c r="I33" s="17" t="n">
        <v>46218</v>
      </c>
      <c r="J33" s="5" t="inlineStr">
        <is>
          <t>Planned: Iter3 | Trace: RDS 4.5 / SDS 4.5</t>
        </is>
      </c>
    </row>
    <row r="34" ht="58" customHeight="1">
      <c r="A34" s="5">
        <f>ROW()-3</f>
        <v/>
      </c>
      <c r="B34" s="5" t="inlineStr">
        <is>
          <t>Candidate Offers</t>
        </is>
      </c>
      <c r="C34" s="5" t="inlineStr">
        <is>
          <t>Offer</t>
        </is>
      </c>
      <c r="D34" s="5" t="inlineStr">
        <is>
          <t>Candidate</t>
        </is>
      </c>
      <c r="E34" s="5" t="inlineStr">
        <is>
          <t>View offer and submit immutable accept/decline response</t>
        </is>
      </c>
      <c r="F34" s="16" t="inlineStr">
        <is>
          <t>WS-5/WS-2</t>
        </is>
      </c>
      <c r="G34" s="5" t="inlineStr">
        <is>
          <t>Validation pending (#213)</t>
        </is>
      </c>
      <c r="H34" s="5" t="inlineStr">
        <is>
          <t>Iter4</t>
        </is>
      </c>
      <c r="I34" s="17" t="n">
        <v>46218</v>
      </c>
      <c r="J34" s="5" t="inlineStr">
        <is>
          <t>Planned: Iter4 | Trace: RDS 4.6 / SDS 4.6</t>
        </is>
      </c>
    </row>
    <row r="35" ht="58" customHeight="1">
      <c r="A35" s="5">
        <f>ROW()-3</f>
        <v/>
      </c>
      <c r="B35" s="5" t="inlineStr">
        <is>
          <t>Candidate Notifications</t>
        </is>
      </c>
      <c r="C35" s="5" t="inlineStr">
        <is>
          <t>Communications</t>
        </is>
      </c>
      <c r="D35" s="5" t="inlineStr">
        <is>
          <t>Candidate</t>
        </is>
      </c>
      <c r="E35" s="5" t="inlineStr">
        <is>
          <t>View interview, status and offer messages</t>
        </is>
      </c>
      <c r="F35" s="16" t="inlineStr">
        <is>
          <t>WS-2/WS-1</t>
        </is>
      </c>
      <c r="G35" s="5" t="inlineStr">
        <is>
          <t>Done</t>
        </is>
      </c>
      <c r="H35" s="5" t="inlineStr">
        <is>
          <t>Iter4</t>
        </is>
      </c>
      <c r="I35" s="17" t="n">
        <v>46218</v>
      </c>
      <c r="J35" s="5" t="inlineStr">
        <is>
          <t>Planned: Iter4 | Trace: RDS 4.7 / SDS 4.7</t>
        </is>
      </c>
    </row>
    <row r="36" ht="58" customHeight="1">
      <c r="A36" s="5">
        <f>ROW()-3</f>
        <v/>
      </c>
      <c r="B36" s="5" t="inlineStr">
        <is>
          <t>CV parse and embedding workers</t>
        </is>
      </c>
      <c r="C36" s="5" t="inlineStr">
        <is>
          <t>Async Processing</t>
        </is>
      </c>
      <c r="D36" s="5" t="inlineStr">
        <is>
          <t>System</t>
        </is>
      </c>
      <c r="E36" s="5" t="inlineStr">
        <is>
          <t>Parse CV, structured extraction and vector generation</t>
        </is>
      </c>
      <c r="F36" s="16" t="inlineStr">
        <is>
          <t>WS-1/WS-4</t>
        </is>
      </c>
      <c r="G36" s="5" t="inlineStr">
        <is>
          <t>Validation pending (#215, #223)</t>
        </is>
      </c>
      <c r="H36" s="5" t="inlineStr">
        <is>
          <t>Iter4</t>
        </is>
      </c>
      <c r="I36" s="17" t="n">
        <v>46218</v>
      </c>
      <c r="J36" s="5" t="inlineStr">
        <is>
          <t>Planned: Iter3 | Trace: RDS 4.4 / SDS 4.4</t>
        </is>
      </c>
    </row>
    <row r="37" ht="58" customHeight="1">
      <c r="A37" s="5">
        <f>ROW()-3</f>
        <v/>
      </c>
      <c r="B37" s="5" t="inlineStr">
        <is>
          <t>Task deadline reminders</t>
        </is>
      </c>
      <c r="C37" s="5" t="inlineStr">
        <is>
          <t>Async Processing</t>
        </is>
      </c>
      <c r="D37" s="5" t="inlineStr">
        <is>
          <t>System</t>
        </is>
      </c>
      <c r="E37" s="5" t="inlineStr">
        <is>
          <t>Idempotent 24-hour/deadline reminder records and email jobs</t>
        </is>
      </c>
      <c r="F37" s="16" t="inlineStr">
        <is>
          <t>WS-5</t>
        </is>
      </c>
      <c r="G37" s="5" t="inlineStr">
        <is>
          <t>Validation pending (#223)</t>
        </is>
      </c>
      <c r="H37" s="5" t="inlineStr">
        <is>
          <t>Iter4</t>
        </is>
      </c>
      <c r="I37" s="17" t="n">
        <v>46218</v>
      </c>
      <c r="J37" s="5" t="inlineStr">
        <is>
          <t>Planned: Iter4 | Trace: RDS 5.3 / SDS 4.7</t>
        </is>
      </c>
    </row>
    <row r="38" ht="58" customHeight="1">
      <c r="A38" s="5">
        <f>ROW()-3</f>
        <v/>
      </c>
      <c r="B38" s="5" t="inlineStr">
        <is>
          <t>Health and operational hardening</t>
        </is>
      </c>
      <c r="C38" s="5" t="inlineStr">
        <is>
          <t>Operations</t>
        </is>
      </c>
      <c r="D38" s="5" t="inlineStr">
        <is>
          <t>Admin/System</t>
        </is>
      </c>
      <c r="E38" s="5" t="inlineStr">
        <is>
          <t>Aggregated health, exception handling, logging, rate limits and CI</t>
        </is>
      </c>
      <c r="F38" s="16" t="inlineStr">
        <is>
          <t>WS-1/WS-3</t>
        </is>
      </c>
      <c r="G38" s="5" t="inlineStr">
        <is>
          <t>Closure evidence review (#186, #224, #227)</t>
        </is>
      </c>
      <c r="H38" s="5" t="inlineStr">
        <is>
          <t>Partial</t>
        </is>
      </c>
      <c r="I38" s="17" t="n">
        <v>46218</v>
      </c>
      <c r="J38" s="5" t="inlineStr">
        <is>
          <t>Planned: Iter4 | Trace: RDS 5.5 / SDS 5.4</t>
        </is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autoFilter ref="A3:J38"/>
  <conditionalFormatting sqref="G4:G38">
    <cfRule type="expression" priority="1" dxfId="0">
      <formula>OR(ISNUMBER(SEARCH("Done",G4)),ISNUMBER(SEARCH("Closed",G4)),ISNUMBER(SEARCH("Complete",G4)),ISNUMBER(SEARCH("Resolved",G4)))</formula>
    </cfRule>
    <cfRule type="expression" priority="2" dxfId="1">
      <formula>OR(ISNUMBER(SEARCH("pending",G4)),ISNUMBER(SEARCH("review",G4)),ISNUMBER(SEARCH("Expected",G4)))</formula>
    </cfRule>
    <cfRule type="expression" priority="3" dxfId="2">
      <formula>OR(ISNUMBER(SEARCH("Open",G4)),ISNUMBER(SEARCH("required",G4)),ISNUMBER(SEARCH("gap",G4)))</formula>
    </cfRule>
  </conditionalFormatting>
  <dataValidations count="1">
    <dataValidation sqref="G4:G38" showDropDown="0" showInputMessage="0" showErrorMessage="0" allowBlank="0" type="list">
      <formula1>"Done,Validation pending,Closure evidence review,Open"</formula1>
    </dataValidation>
  </dataValidations>
  <pageMargins left="0.25" right="0.25" top="0.4" bottom="0.4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Right="0"/>
    <pageSetUpPr autoPageBreaks="0" fitToPage="1"/>
  </sheetPr>
  <dimension ref="A1:I50"/>
  <sheetViews>
    <sheetView showGridLines="0" zoomScaleNormal="100" workbookViewId="0">
      <pane ySplit="5" topLeftCell="A6" activePane="bottomLeft" state="frozen"/>
      <selection pane="bottomLeft" activeCell="A2" sqref="A2"/>
    </sheetView>
  </sheetViews>
  <sheetFormatPr baseColWidth="10" defaultRowHeight="13"/>
  <cols>
    <col width="5" customWidth="1" style="1" min="1" max="1"/>
    <col width="38" customWidth="1" style="2" min="2" max="2"/>
    <col width="14" customWidth="1" style="2" min="3" max="3"/>
    <col width="55" customWidth="1" style="2" min="4" max="4"/>
    <col width="18" bestFit="1" customWidth="1" style="2" min="5" max="5"/>
    <col width="24" customWidth="1" style="2" min="6" max="6"/>
    <col width="24" customWidth="1" style="2" min="7" max="7"/>
    <col width="24" customWidth="1" style="2" min="8" max="8"/>
    <col width="38" customWidth="1" style="2" min="9" max="9"/>
    <col width="10.83203125" customWidth="1" style="2" min="10" max="10"/>
    <col width="10.83203125" customWidth="1" style="2" min="11" max="16384"/>
  </cols>
  <sheetData>
    <row r="1" ht="18" customHeight="1">
      <c r="A1" s="12" t="inlineStr">
        <is>
          <t>Iteration Tracking - Iteration 1</t>
        </is>
      </c>
    </row>
    <row r="2">
      <c r="A2" s="11" t="inlineStr">
        <is>
          <t>Planned scope and end-of-iteration result for Iteration 1</t>
        </is>
      </c>
    </row>
    <row r="3">
      <c r="A3" s="11" t="inlineStr">
        <is>
          <t>Columns B-D map the work item, identifier and implemented result from REP-01</t>
        </is>
      </c>
    </row>
    <row r="4">
      <c r="A4" s="11" t="inlineStr">
        <is>
          <t>Columns E-I record ownership, status, RDS/SDS trace and verification notes</t>
        </is>
      </c>
    </row>
    <row r="5" ht="14" customHeight="1">
      <c r="A5" s="7" t="inlineStr">
        <is>
          <t>#</t>
        </is>
      </c>
      <c r="B5" s="6" t="inlineStr">
        <is>
          <t>Screen / Function</t>
        </is>
      </c>
      <c r="C5" s="6" t="inlineStr">
        <is>
          <t>Work Item ID</t>
        </is>
      </c>
      <c r="D5" s="6" t="inlineStr">
        <is>
          <t>Screen/Function Description</t>
        </is>
      </c>
      <c r="E5" s="6" t="inlineStr">
        <is>
          <t>In Charge</t>
        </is>
      </c>
      <c r="F5" s="6" t="inlineStr">
        <is>
          <t>Status</t>
        </is>
      </c>
      <c r="G5" s="8" t="inlineStr">
        <is>
          <t>RDS / FR</t>
        </is>
      </c>
      <c r="H5" s="8" t="inlineStr">
        <is>
          <t>SDS / UC</t>
        </is>
      </c>
      <c r="I5" s="6" t="inlineStr">
        <is>
          <t>Notes</t>
        </is>
      </c>
    </row>
    <row r="6" ht="55" customHeight="1">
      <c r="A6" s="5">
        <f>ROW()-5</f>
        <v/>
      </c>
      <c r="B6" s="5" t="inlineStr">
        <is>
          <t>Monorepo, shared packages and database baseline</t>
        </is>
      </c>
      <c r="C6" s="5" t="inlineStr">
        <is>
          <t>I1-01</t>
        </is>
      </c>
      <c r="D6" s="5" t="inlineStr">
        <is>
          <t>Node/TypeScript/Turborepo structure established</t>
        </is>
      </c>
      <c r="E6" s="16" t="inlineStr">
        <is>
          <t>WS-1</t>
        </is>
      </c>
      <c r="F6" s="5" t="inlineStr">
        <is>
          <t>Done</t>
        </is>
      </c>
      <c r="G6" s="18" t="inlineStr">
        <is>
          <t>REP-02 / REP-01</t>
        </is>
      </c>
      <c r="H6" s="18" t="inlineStr">
        <is>
          <t>SDS 2-3</t>
        </is>
      </c>
      <c r="I6" s="5" t="inlineStr">
        <is>
          <t>Source trace: SDS 2-3</t>
        </is>
      </c>
    </row>
    <row r="7" ht="55" customHeight="1">
      <c r="A7" s="5">
        <f>ROW()-5</f>
        <v/>
      </c>
      <c r="B7" s="5" t="inlineStr">
        <is>
          <t>Auth, JWT, refresh token and role guard</t>
        </is>
      </c>
      <c r="C7" s="5" t="inlineStr">
        <is>
          <t>I1-02</t>
        </is>
      </c>
      <c r="D7" s="5" t="inlineStr">
        <is>
          <t>Identity TCP service and Gateway protection</t>
        </is>
      </c>
      <c r="E7" s="16" t="inlineStr">
        <is>
          <t>WS-3/WS-4</t>
        </is>
      </c>
      <c r="F7" s="5" t="inlineStr">
        <is>
          <t>Validation pending</t>
        </is>
      </c>
      <c r="G7" s="18" t="inlineStr">
        <is>
          <t>UC-01..UC-07, issue #214</t>
        </is>
      </c>
      <c r="H7" s="18" t="inlineStr">
        <is>
          <t>REP-03 mapped design</t>
        </is>
      </c>
      <c r="I7" s="5" t="inlineStr">
        <is>
          <t>Source trace: UC-01..UC-07, issue #214</t>
        </is>
      </c>
    </row>
    <row r="8" ht="55" customHeight="1">
      <c r="A8" s="5">
        <f>ROW()-5</f>
        <v/>
      </c>
      <c r="B8" s="5" t="inlineStr">
        <is>
          <t>Organization, department and user administration</t>
        </is>
      </c>
      <c r="C8" s="5" t="inlineStr">
        <is>
          <t>I1-03</t>
        </is>
      </c>
      <c r="D8" s="5" t="inlineStr">
        <is>
          <t>Identity CRUD and role-scoped UI</t>
        </is>
      </c>
      <c r="E8" s="16" t="inlineStr">
        <is>
          <t>WS-4</t>
        </is>
      </c>
      <c r="F8" s="5" t="inlineStr">
        <is>
          <t>Done</t>
        </is>
      </c>
      <c r="G8" s="18" t="inlineStr">
        <is>
          <t>FR-01</t>
        </is>
      </c>
      <c r="H8" s="18" t="inlineStr">
        <is>
          <t>REP-03 mapped design</t>
        </is>
      </c>
      <c r="I8" s="5" t="inlineStr">
        <is>
          <t>Source trace: FR-01</t>
        </is>
      </c>
    </row>
    <row r="9" ht="55" customHeight="1">
      <c r="A9" s="5">
        <f>ROW()-5</f>
        <v/>
      </c>
      <c r="B9" s="5" t="inlineStr">
        <is>
          <t>RMS pivot requirements and workflow</t>
        </is>
      </c>
      <c r="C9" s="5" t="inlineStr">
        <is>
          <t>I1-04</t>
        </is>
      </c>
      <c r="D9" s="5" t="inlineStr">
        <is>
          <t>Four-role workflow and plan-lock documented</t>
        </is>
      </c>
      <c r="E9" s="16" t="inlineStr">
        <is>
          <t>WS-5</t>
        </is>
      </c>
      <c r="F9" s="5" t="inlineStr">
        <is>
          <t>Done</t>
        </is>
      </c>
      <c r="G9" s="18" t="inlineStr">
        <is>
          <t>FR-02..FR-07</t>
        </is>
      </c>
      <c r="H9" s="18" t="inlineStr">
        <is>
          <t>REP-03 mapped design</t>
        </is>
      </c>
      <c r="I9" s="5" t="inlineStr">
        <is>
          <t>Source trace: FR-02..FR-07</t>
        </is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autoFilter ref="A5:I9"/>
  <conditionalFormatting sqref="F6:F9">
    <cfRule type="expression" priority="1" dxfId="0">
      <formula>OR(ISNUMBER(SEARCH("Done",F6)),ISNUMBER(SEARCH("Closed",F6)),ISNUMBER(SEARCH("Complete",F6)),ISNUMBER(SEARCH("Resolved",F6)))</formula>
    </cfRule>
    <cfRule type="expression" priority="2" dxfId="1">
      <formula>OR(ISNUMBER(SEARCH("pending",F6)),ISNUMBER(SEARCH("review",F6)),ISNUMBER(SEARCH("Expected",F6)))</formula>
    </cfRule>
    <cfRule type="expression" priority="3" dxfId="2">
      <formula>OR(ISNUMBER(SEARCH("Open",F6)),ISNUMBER(SEARCH("required",F6)),ISNUMBER(SEARCH("gap",F6)))</formula>
    </cfRule>
  </conditionalFormatting>
  <dataValidations count="1">
    <dataValidation sqref="F6:F9" showDropDown="0" showInputMessage="0" showErrorMessage="0" allowBlank="0" type="list">
      <formula1>"Done,Validation pending,Closure review,Open"</formula1>
    </dataValidation>
  </dataValidations>
  <pageMargins left="0.25" right="0.25" top="0.4" bottom="0.4" header="0.3" footer="0.3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Right="0"/>
    <pageSetUpPr autoPageBreaks="0" fitToPage="1"/>
  </sheetPr>
  <dimension ref="A1:I50"/>
  <sheetViews>
    <sheetView showGridLines="0" zoomScaleNormal="100" workbookViewId="0">
      <pane ySplit="5" topLeftCell="A6" activePane="bottomLeft" state="frozen"/>
      <selection pane="bottomLeft" activeCell="G16" sqref="G16"/>
    </sheetView>
  </sheetViews>
  <sheetFormatPr baseColWidth="10" defaultRowHeight="13"/>
  <cols>
    <col width="5" customWidth="1" style="1" min="1" max="1"/>
    <col width="38" customWidth="1" style="2" min="2" max="2"/>
    <col width="14" customWidth="1" style="2" min="3" max="3"/>
    <col width="55" customWidth="1" style="2" min="4" max="4"/>
    <col width="18" bestFit="1" customWidth="1" style="2" min="5" max="5"/>
    <col width="24" customWidth="1" style="2" min="6" max="6"/>
    <col width="24" customWidth="1" style="2" min="7" max="7"/>
    <col width="24" customWidth="1" style="2" min="8" max="8"/>
    <col width="38" customWidth="1" style="2" min="9" max="9"/>
    <col width="10.83203125" customWidth="1" style="2" min="10" max="10"/>
    <col width="10.83203125" customWidth="1" style="2" min="11" max="16384"/>
  </cols>
  <sheetData>
    <row r="1" ht="18" customHeight="1">
      <c r="A1" s="12" t="inlineStr">
        <is>
          <t>Iteration Tracking - Iteration 2</t>
        </is>
      </c>
    </row>
    <row r="2">
      <c r="A2" s="11" t="inlineStr">
        <is>
          <t>Planned scope and end-of-iteration result for Iteration 2</t>
        </is>
      </c>
    </row>
    <row r="3">
      <c r="A3" s="11" t="inlineStr">
        <is>
          <t>Columns B-D map the work item, identifier and implemented result from REP-01</t>
        </is>
      </c>
    </row>
    <row r="4">
      <c r="A4" s="11" t="inlineStr">
        <is>
          <t>Columns E-I record ownership, status, RDS/SDS trace and verification notes</t>
        </is>
      </c>
    </row>
    <row r="5" ht="14" customHeight="1">
      <c r="A5" s="7" t="inlineStr">
        <is>
          <t>#</t>
        </is>
      </c>
      <c r="B5" s="6" t="inlineStr">
        <is>
          <t>Screen / Function</t>
        </is>
      </c>
      <c r="C5" s="6" t="inlineStr">
        <is>
          <t>Work Item ID</t>
        </is>
      </c>
      <c r="D5" s="6" t="inlineStr">
        <is>
          <t>Screen/Function Description</t>
        </is>
      </c>
      <c r="E5" s="6" t="inlineStr">
        <is>
          <t>In Charge</t>
        </is>
      </c>
      <c r="F5" s="6" t="inlineStr">
        <is>
          <t>Status</t>
        </is>
      </c>
      <c r="G5" s="8" t="inlineStr">
        <is>
          <t>RDS / FR</t>
        </is>
      </c>
      <c r="H5" s="8" t="inlineStr">
        <is>
          <t>SDS / UC</t>
        </is>
      </c>
      <c r="I5" s="6" t="inlineStr">
        <is>
          <t>Notes</t>
        </is>
      </c>
    </row>
    <row r="6" ht="55" customHeight="1">
      <c r="A6" s="5">
        <f>ROW()-5</f>
        <v/>
      </c>
      <c r="B6" s="5" t="inlineStr">
        <is>
          <t>Department Head request lifecycle</t>
        </is>
      </c>
      <c r="C6" s="5" t="inlineStr">
        <is>
          <t>I2-01</t>
        </is>
      </c>
      <c r="D6" s="5" t="inlineStr">
        <is>
          <t>Create/edit/submit/revise/track screens and services</t>
        </is>
      </c>
      <c r="E6" s="16" t="inlineStr">
        <is>
          <t>WS-2/WS-3</t>
        </is>
      </c>
      <c r="F6" s="5" t="inlineStr">
        <is>
          <t>Validation pending</t>
        </is>
      </c>
      <c r="G6" s="18" t="inlineStr">
        <is>
          <t>FR-02, issue #213</t>
        </is>
      </c>
      <c r="H6" s="18" t="inlineStr">
        <is>
          <t>REP-03 mapped design</t>
        </is>
      </c>
      <c r="I6" s="5" t="inlineStr">
        <is>
          <t>Source trace: FR-02, issue #213</t>
        </is>
      </c>
    </row>
    <row r="7" ht="55" customHeight="1">
      <c r="A7" s="5">
        <f>ROW()-5</f>
        <v/>
      </c>
      <c r="B7" s="5" t="inlineStr">
        <is>
          <t>HR review and Admin approval</t>
        </is>
      </c>
      <c r="C7" s="5" t="inlineStr">
        <is>
          <t>I2-02</t>
        </is>
      </c>
      <c r="D7" s="5" t="inlineStr">
        <is>
          <t>Assign, return, forward, approve/reject/request-changes</t>
        </is>
      </c>
      <c r="E7" s="16" t="inlineStr">
        <is>
          <t>WS-1/WS-5</t>
        </is>
      </c>
      <c r="F7" s="5" t="inlineStr">
        <is>
          <t>Validation pending</t>
        </is>
      </c>
      <c r="G7" s="18" t="inlineStr">
        <is>
          <t>FR-03, issue #213</t>
        </is>
      </c>
      <c r="H7" s="18" t="inlineStr">
        <is>
          <t>REP-03 mapped design</t>
        </is>
      </c>
      <c r="I7" s="5" t="inlineStr">
        <is>
          <t>Source trace: FR-03, issue #213</t>
        </is>
      </c>
    </row>
    <row r="8" ht="55" customHeight="1">
      <c r="A8" s="5">
        <f>ROW()-5</f>
        <v/>
      </c>
      <c r="B8" s="5" t="inlineStr">
        <is>
          <t>OverallPlan and TaskPlan</t>
        </is>
      </c>
      <c r="C8" s="5" t="inlineStr">
        <is>
          <t>I2-03</t>
        </is>
      </c>
      <c r="D8" s="5" t="inlineStr">
        <is>
          <t>Plan submit/approve/reject/resubmit/start and task operations</t>
        </is>
      </c>
      <c r="E8" s="16" t="inlineStr">
        <is>
          <t>WS-1/WS-5</t>
        </is>
      </c>
      <c r="F8" s="5" t="inlineStr">
        <is>
          <t>Validation pending</t>
        </is>
      </c>
      <c r="G8" s="18" t="inlineStr">
        <is>
          <t>FR-04..FR-07</t>
        </is>
      </c>
      <c r="H8" s="18" t="inlineStr">
        <is>
          <t>REP-03 mapped design</t>
        </is>
      </c>
      <c r="I8" s="5" t="inlineStr">
        <is>
          <t>Source trace: FR-04..FR-07</t>
        </is>
      </c>
    </row>
    <row r="9" ht="55" customHeight="1">
      <c r="A9" s="5">
        <f>ROW()-5</f>
        <v/>
      </c>
      <c r="B9" s="5" t="inlineStr">
        <is>
          <t>Role dashboards</t>
        </is>
      </c>
      <c r="C9" s="5" t="inlineStr">
        <is>
          <t>I2-04</t>
        </is>
      </c>
      <c r="D9" s="5" t="inlineStr">
        <is>
          <t>Admin/HR/Department summary screens</t>
        </is>
      </c>
      <c r="E9" s="16" t="inlineStr">
        <is>
          <t>WS-2</t>
        </is>
      </c>
      <c r="F9" s="5" t="inlineStr">
        <is>
          <t>Done</t>
        </is>
      </c>
      <c r="G9" s="18" t="inlineStr">
        <is>
          <t>FR-20, FR-22</t>
        </is>
      </c>
      <c r="H9" s="18" t="inlineStr">
        <is>
          <t>REP-03 mapped design</t>
        </is>
      </c>
      <c r="I9" s="5" t="inlineStr">
        <is>
          <t>Source trace: FR-20, FR-22</t>
        </is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autoFilter ref="A5:I9"/>
  <conditionalFormatting sqref="F6:F9">
    <cfRule type="expression" priority="1" dxfId="0">
      <formula>OR(ISNUMBER(SEARCH("Done",F6)),ISNUMBER(SEARCH("Closed",F6)),ISNUMBER(SEARCH("Complete",F6)),ISNUMBER(SEARCH("Resolved",F6)))</formula>
    </cfRule>
    <cfRule type="expression" priority="2" dxfId="1">
      <formula>OR(ISNUMBER(SEARCH("pending",F6)),ISNUMBER(SEARCH("review",F6)),ISNUMBER(SEARCH("Expected",F6)))</formula>
    </cfRule>
    <cfRule type="expression" priority="3" dxfId="2">
      <formula>OR(ISNUMBER(SEARCH("Open",F6)),ISNUMBER(SEARCH("required",F6)),ISNUMBER(SEARCH("gap",F6)))</formula>
    </cfRule>
  </conditionalFormatting>
  <dataValidations count="1">
    <dataValidation sqref="F6:F9" showDropDown="0" showInputMessage="0" showErrorMessage="0" allowBlank="0" type="list">
      <formula1>"Done,Validation pending,Closure review,Open"</formula1>
    </dataValidation>
  </dataValidations>
  <pageMargins left="0.25" right="0.25" top="0.4" bottom="0.4" header="0.3" footer="0.3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Right="0"/>
    <pageSetUpPr autoPageBreaks="0" fitToPage="1"/>
  </sheetPr>
  <dimension ref="A1:I50"/>
  <sheetViews>
    <sheetView showGridLines="0" zoomScaleNormal="100" workbookViewId="0">
      <pane ySplit="5" topLeftCell="A6" activePane="bottomLeft" state="frozen"/>
      <selection pane="bottomLeft" activeCell="A2" sqref="A2"/>
    </sheetView>
  </sheetViews>
  <sheetFormatPr baseColWidth="10" defaultRowHeight="13"/>
  <cols>
    <col width="5" customWidth="1" style="1" min="1" max="1"/>
    <col width="38" customWidth="1" style="2" min="2" max="2"/>
    <col width="14" customWidth="1" style="2" min="3" max="3"/>
    <col width="55" customWidth="1" style="2" min="4" max="4"/>
    <col width="18" bestFit="1" customWidth="1" style="2" min="5" max="5"/>
    <col width="24" customWidth="1" style="2" min="6" max="6"/>
    <col width="24" customWidth="1" style="2" min="7" max="7"/>
    <col width="24" customWidth="1" style="2" min="8" max="8"/>
    <col width="38" customWidth="1" style="2" min="9" max="9"/>
    <col width="10.83203125" customWidth="1" style="2" min="10" max="10"/>
    <col width="10.83203125" customWidth="1" style="2" min="11" max="16384"/>
  </cols>
  <sheetData>
    <row r="1" ht="18" customHeight="1">
      <c r="A1" s="12" t="inlineStr">
        <is>
          <t>Iteration Tracking - Iteration 3</t>
        </is>
      </c>
    </row>
    <row r="2">
      <c r="A2" s="11" t="inlineStr">
        <is>
          <t>Planned scope and end-of-iteration result for Iteration 3</t>
        </is>
      </c>
    </row>
    <row r="3">
      <c r="A3" s="11" t="inlineStr">
        <is>
          <t>Columns B-D map the work item, identifier and implemented result from REP-01</t>
        </is>
      </c>
    </row>
    <row r="4">
      <c r="A4" s="11" t="inlineStr">
        <is>
          <t>Columns E-I record ownership, status, RDS/SDS trace and verification notes</t>
        </is>
      </c>
    </row>
    <row r="5" ht="14" customHeight="1">
      <c r="A5" s="7" t="inlineStr">
        <is>
          <t>#</t>
        </is>
      </c>
      <c r="B5" s="6" t="inlineStr">
        <is>
          <t>Screen / Function</t>
        </is>
      </c>
      <c r="C5" s="6" t="inlineStr">
        <is>
          <t>Work Item ID</t>
        </is>
      </c>
      <c r="D5" s="6" t="inlineStr">
        <is>
          <t>Screen/Function Description</t>
        </is>
      </c>
      <c r="E5" s="6" t="inlineStr">
        <is>
          <t>In Charge</t>
        </is>
      </c>
      <c r="F5" s="6" t="inlineStr">
        <is>
          <t>Status</t>
        </is>
      </c>
      <c r="G5" s="8" t="inlineStr">
        <is>
          <t>RDS / FR</t>
        </is>
      </c>
      <c r="H5" s="8" t="inlineStr">
        <is>
          <t>SDS / UC</t>
        </is>
      </c>
      <c r="I5" s="6" t="inlineStr">
        <is>
          <t>Notes</t>
        </is>
      </c>
    </row>
    <row r="6" ht="55" customHeight="1">
      <c r="A6" s="5">
        <f>ROW()-5</f>
        <v/>
      </c>
      <c r="B6" s="5" t="inlineStr">
        <is>
          <t>Candidate profile and CV lifecycle</t>
        </is>
      </c>
      <c r="C6" s="5" t="inlineStr">
        <is>
          <t>I3-01</t>
        </is>
      </c>
      <c r="D6" s="5" t="inlineStr">
        <is>
          <t>Profile, upload, replace, delete and processing state</t>
        </is>
      </c>
      <c r="E6" s="16" t="inlineStr">
        <is>
          <t>WS-1/WS-2/WS-3</t>
        </is>
      </c>
      <c r="F6" s="5" t="inlineStr">
        <is>
          <t>Validation pending</t>
        </is>
      </c>
      <c r="G6" s="18" t="inlineStr">
        <is>
          <t>FR-08..FR-10, issue #215</t>
        </is>
      </c>
      <c r="H6" s="18" t="inlineStr">
        <is>
          <t>REP-03 mapped design</t>
        </is>
      </c>
      <c r="I6" s="5" t="inlineStr">
        <is>
          <t>Source trace: FR-08..FR-10, issue #215</t>
        </is>
      </c>
    </row>
    <row r="7" ht="55" customHeight="1">
      <c r="A7" s="5">
        <f>ROW()-5</f>
        <v/>
      </c>
      <c r="B7" s="5" t="inlineStr">
        <is>
          <t>Talent search and shortlist</t>
        </is>
      </c>
      <c r="C7" s="5" t="inlineStr">
        <is>
          <t>I3-02</t>
        </is>
      </c>
      <c r="D7" s="5" t="inlineStr">
        <is>
          <t>Vector/hybrid search with feedback records</t>
        </is>
      </c>
      <c r="E7" s="16" t="inlineStr">
        <is>
          <t>WS-4</t>
        </is>
      </c>
      <c r="F7" s="5" t="inlineStr">
        <is>
          <t>Validation pending</t>
        </is>
      </c>
      <c r="G7" s="18" t="inlineStr">
        <is>
          <t>FR-11, issue #215</t>
        </is>
      </c>
      <c r="H7" s="18" t="inlineStr">
        <is>
          <t>REP-03 mapped design</t>
        </is>
      </c>
      <c r="I7" s="5" t="inlineStr">
        <is>
          <t>Source trace: FR-11, issue #215</t>
        </is>
      </c>
    </row>
    <row r="8" ht="55" customHeight="1">
      <c r="A8" s="5">
        <f>ROW()-5</f>
        <v/>
      </c>
      <c r="B8" s="5" t="inlineStr">
        <is>
          <t>Interview schedule and invitation</t>
        </is>
      </c>
      <c r="C8" s="5" t="inlineStr">
        <is>
          <t>I3-03</t>
        </is>
      </c>
      <c r="D8" s="5" t="inlineStr">
        <is>
          <t>Plan-lock, panel, conflicts, notifications and email</t>
        </is>
      </c>
      <c r="E8" s="16" t="inlineStr">
        <is>
          <t>WS-1/WS-5</t>
        </is>
      </c>
      <c r="F8" s="5" t="inlineStr">
        <is>
          <t>Done</t>
        </is>
      </c>
      <c r="G8" s="18" t="inlineStr">
        <is>
          <t>FR-12, FR-13, FR-16</t>
        </is>
      </c>
      <c r="H8" s="18" t="inlineStr">
        <is>
          <t>REP-03 mapped design</t>
        </is>
      </c>
      <c r="I8" s="5" t="inlineStr">
        <is>
          <t>Source trace: FR-12, FR-13, FR-16</t>
        </is>
      </c>
    </row>
    <row r="9" ht="55" customHeight="1">
      <c r="A9" s="5">
        <f>ROW()-5</f>
        <v/>
      </c>
      <c r="B9" s="5" t="inlineStr">
        <is>
          <t>Panel feedback and recommendation</t>
        </is>
      </c>
      <c r="C9" s="5" t="inlineStr">
        <is>
          <t>I3-04</t>
        </is>
      </c>
      <c r="D9" s="5" t="inlineStr">
        <is>
          <t>Per-evaluator feedback and HR recommendation</t>
        </is>
      </c>
      <c r="E9" s="16" t="inlineStr">
        <is>
          <t>WS-1/WS-5</t>
        </is>
      </c>
      <c r="F9" s="5" t="inlineStr">
        <is>
          <t>Done</t>
        </is>
      </c>
      <c r="G9" s="18" t="inlineStr">
        <is>
          <t>FR-14</t>
        </is>
      </c>
      <c r="H9" s="18" t="inlineStr">
        <is>
          <t>REP-03 mapped design</t>
        </is>
      </c>
      <c r="I9" s="5" t="inlineStr">
        <is>
          <t>Source trace: FR-14</t>
        </is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autoFilter ref="A5:I9"/>
  <conditionalFormatting sqref="F6:F9">
    <cfRule type="expression" priority="1" dxfId="0">
      <formula>OR(ISNUMBER(SEARCH("Done",F6)),ISNUMBER(SEARCH("Closed",F6)),ISNUMBER(SEARCH("Complete",F6)),ISNUMBER(SEARCH("Resolved",F6)))</formula>
    </cfRule>
    <cfRule type="expression" priority="2" dxfId="1">
      <formula>OR(ISNUMBER(SEARCH("pending",F6)),ISNUMBER(SEARCH("review",F6)),ISNUMBER(SEARCH("Expected",F6)))</formula>
    </cfRule>
    <cfRule type="expression" priority="3" dxfId="2">
      <formula>OR(ISNUMBER(SEARCH("Open",F6)),ISNUMBER(SEARCH("required",F6)),ISNUMBER(SEARCH("gap",F6)))</formula>
    </cfRule>
  </conditionalFormatting>
  <dataValidations count="1">
    <dataValidation sqref="F6:F9" showDropDown="0" showInputMessage="0" showErrorMessage="0" allowBlank="0" type="list">
      <formula1>"Done,Validation pending,Closure review,Open"</formula1>
    </dataValidation>
  </dataValidations>
  <pageMargins left="0.25" right="0.25" top="0.4" bottom="0.4" header="0.3" footer="0.3"/>
  <pageSetup orientation="landscape" paperSize="9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Right="0"/>
    <pageSetUpPr autoPageBreaks="0" fitToPage="1"/>
  </sheetPr>
  <dimension ref="A1:I50"/>
  <sheetViews>
    <sheetView showGridLines="0" zoomScaleNormal="100" workbookViewId="0">
      <pane ySplit="5" topLeftCell="A6" activePane="bottomLeft" state="frozen"/>
      <selection pane="bottomLeft" activeCell="A2" sqref="A2"/>
    </sheetView>
  </sheetViews>
  <sheetFormatPr baseColWidth="10" defaultRowHeight="13"/>
  <cols>
    <col width="5" customWidth="1" style="1" min="1" max="1"/>
    <col width="38" customWidth="1" style="2" min="2" max="2"/>
    <col width="14" customWidth="1" style="2" min="3" max="3"/>
    <col width="55" customWidth="1" style="2" min="4" max="4"/>
    <col width="18" bestFit="1" customWidth="1" style="2" min="5" max="5"/>
    <col width="24" customWidth="1" style="2" min="6" max="6"/>
    <col width="24" customWidth="1" style="2" min="7" max="7"/>
    <col width="24" customWidth="1" style="2" min="8" max="8"/>
    <col width="38" customWidth="1" style="2" min="9" max="9"/>
    <col width="10.83203125" customWidth="1" style="2" min="10" max="10"/>
    <col width="10.83203125" customWidth="1" style="2" min="11" max="16384"/>
  </cols>
  <sheetData>
    <row r="1" ht="18" customHeight="1">
      <c r="A1" s="12" t="inlineStr">
        <is>
          <t>Iteration Tracking - Iteration 4</t>
        </is>
      </c>
    </row>
    <row r="2">
      <c r="A2" s="11" t="inlineStr">
        <is>
          <t>Planned scope and end-of-iteration result for Iteration 4</t>
        </is>
      </c>
    </row>
    <row r="3">
      <c r="A3" s="11" t="inlineStr">
        <is>
          <t>Columns B-D map the work item, identifier and implemented result from REP-01</t>
        </is>
      </c>
    </row>
    <row r="4">
      <c r="A4" s="11" t="inlineStr">
        <is>
          <t>Columns E-I record ownership, status, RDS/SDS trace and verification notes</t>
        </is>
      </c>
    </row>
    <row r="5" ht="14" customHeight="1">
      <c r="A5" s="7" t="inlineStr">
        <is>
          <t>#</t>
        </is>
      </c>
      <c r="B5" s="6" t="inlineStr">
        <is>
          <t>Screen / Function</t>
        </is>
      </c>
      <c r="C5" s="6" t="inlineStr">
        <is>
          <t>Work Item ID</t>
        </is>
      </c>
      <c r="D5" s="6" t="inlineStr">
        <is>
          <t>Screen/Function Description</t>
        </is>
      </c>
      <c r="E5" s="6" t="inlineStr">
        <is>
          <t>In Charge</t>
        </is>
      </c>
      <c r="F5" s="6" t="inlineStr">
        <is>
          <t>Status</t>
        </is>
      </c>
      <c r="G5" s="8" t="inlineStr">
        <is>
          <t>RDS / FR</t>
        </is>
      </c>
      <c r="H5" s="8" t="inlineStr">
        <is>
          <t>SDS / UC</t>
        </is>
      </c>
      <c r="I5" s="6" t="inlineStr">
        <is>
          <t>Notes</t>
        </is>
      </c>
    </row>
    <row r="6" ht="55" customHeight="1">
      <c r="A6" s="5">
        <f>ROW()-5</f>
        <v/>
      </c>
      <c r="B6" s="5" t="inlineStr">
        <is>
          <t>Admin final decision and offer response</t>
        </is>
      </c>
      <c r="C6" s="5" t="inlineStr">
        <is>
          <t>I4-01</t>
        </is>
      </c>
      <c r="D6" s="5" t="inlineStr">
        <is>
          <t>Atomic hire/reject communication and candidate response</t>
        </is>
      </c>
      <c r="E6" s="16" t="inlineStr">
        <is>
          <t>WS-5/WS-1</t>
        </is>
      </c>
      <c r="F6" s="5" t="inlineStr">
        <is>
          <t>Validation pending</t>
        </is>
      </c>
      <c r="G6" s="18" t="inlineStr">
        <is>
          <t>FR-15, FR-17, FR-18; issue #213</t>
        </is>
      </c>
      <c r="H6" s="18" t="inlineStr">
        <is>
          <t>REP-03 mapped design</t>
        </is>
      </c>
      <c r="I6" s="5" t="inlineStr">
        <is>
          <t>Source trace: FR-15, FR-17, FR-18; issue #213</t>
        </is>
      </c>
    </row>
    <row r="7" ht="55" customHeight="1">
      <c r="A7" s="5">
        <f>ROW()-5</f>
        <v/>
      </c>
      <c r="B7" s="5" t="inlineStr">
        <is>
          <t>Notifications and reminders</t>
        </is>
      </c>
      <c r="C7" s="5" t="inlineStr">
        <is>
          <t>I4-02</t>
        </is>
      </c>
      <c r="D7" s="5" t="inlineStr">
        <is>
          <t>SSE/in-app/email plus task deadline reminders</t>
        </is>
      </c>
      <c r="E7" s="16" t="inlineStr">
        <is>
          <t>WS-1/WS-5</t>
        </is>
      </c>
      <c r="F7" s="5" t="inlineStr">
        <is>
          <t>Validation pending</t>
        </is>
      </c>
      <c r="G7" s="18" t="inlineStr">
        <is>
          <t>FR-19; issue #223</t>
        </is>
      </c>
      <c r="H7" s="18" t="inlineStr">
        <is>
          <t>REP-03 mapped design</t>
        </is>
      </c>
      <c r="I7" s="5" t="inlineStr">
        <is>
          <t>Source trace: FR-19; issue #223</t>
        </is>
      </c>
    </row>
    <row r="8" ht="55" customHeight="1">
      <c r="A8" s="5">
        <f>ROW()-5</f>
        <v/>
      </c>
      <c r="B8" s="5" t="inlineStr">
        <is>
          <t>Annual, department and pipeline reports</t>
        </is>
      </c>
      <c r="C8" s="5" t="inlineStr">
        <is>
          <t>I4-03</t>
        </is>
      </c>
      <c r="D8" s="5" t="inlineStr">
        <is>
          <t>Role-scoped tracking, metrics and export</t>
        </is>
      </c>
      <c r="E8" s="16" t="inlineStr">
        <is>
          <t>WS-1/WS-4/WS-2</t>
        </is>
      </c>
      <c r="F8" s="5" t="inlineStr">
        <is>
          <t>Done</t>
        </is>
      </c>
      <c r="G8" s="18" t="inlineStr">
        <is>
          <t>FR-20..FR-22</t>
        </is>
      </c>
      <c r="H8" s="18" t="inlineStr">
        <is>
          <t>REP-03 mapped design</t>
        </is>
      </c>
      <c r="I8" s="5" t="inlineStr">
        <is>
          <t>Source trace: FR-20..FR-22</t>
        </is>
      </c>
    </row>
    <row r="9" ht="55" customHeight="1">
      <c r="A9" s="5">
        <f>ROW()-5</f>
        <v/>
      </c>
      <c r="B9" s="5" t="inlineStr">
        <is>
          <t>Documentation and diagram set</t>
        </is>
      </c>
      <c r="C9" s="5" t="inlineStr">
        <is>
          <t>I4-04</t>
        </is>
      </c>
      <c r="D9" s="5" t="inlineStr">
        <is>
          <t>Six reports, traceability, PUML and Excalidraw mapping</t>
        </is>
      </c>
      <c r="E9" s="16" t="inlineStr">
        <is>
          <t>WS-3 + all</t>
        </is>
      </c>
      <c r="F9" s="5" t="inlineStr">
        <is>
          <t>Done</t>
        </is>
      </c>
      <c r="G9" s="18" t="inlineStr">
        <is>
          <t>REP-02 / REP-01</t>
        </is>
      </c>
      <c r="H9" s="18" t="inlineStr">
        <is>
          <t>REP-03 mapped design</t>
        </is>
      </c>
      <c r="I9" s="5" t="inlineStr">
        <is>
          <t>Source trace: REP-00..REP-05</t>
        </is>
      </c>
    </row>
    <row r="10" ht="55" customHeight="1">
      <c r="A10" s="5">
        <f>ROW()-5</f>
        <v/>
      </c>
      <c r="B10" s="5" t="inlineStr">
        <is>
          <t>Release hardening</t>
        </is>
      </c>
      <c r="C10" s="5" t="inlineStr">
        <is>
          <t>I4-05</t>
        </is>
      </c>
      <c r="D10" s="5" t="inlineStr">
        <is>
          <t>Logging/rate-limit code present; GitHub Actions workflow absent</t>
        </is>
      </c>
      <c r="E10" s="16" t="inlineStr">
        <is>
          <t>WS-1/WS-3</t>
        </is>
      </c>
      <c r="F10" s="5" t="inlineStr">
        <is>
          <t>Closure review</t>
        </is>
      </c>
      <c r="G10" s="18" t="inlineStr">
        <is>
          <t>REP-02 / REP-01</t>
        </is>
      </c>
      <c r="H10" s="18" t="inlineStr">
        <is>
          <t>REP-03 mapped design</t>
        </is>
      </c>
      <c r="I10" s="5" t="inlineStr">
        <is>
          <t>Source trace: Closed issues #186, #224, #227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autoFilter ref="A5:I10"/>
  <conditionalFormatting sqref="F6:F10">
    <cfRule type="expression" priority="1" dxfId="0">
      <formula>OR(ISNUMBER(SEARCH("Done",F6)),ISNUMBER(SEARCH("Closed",F6)),ISNUMBER(SEARCH("Complete",F6)),ISNUMBER(SEARCH("Resolved",F6)))</formula>
    </cfRule>
    <cfRule type="expression" priority="2" dxfId="1">
      <formula>OR(ISNUMBER(SEARCH("pending",F6)),ISNUMBER(SEARCH("review",F6)),ISNUMBER(SEARCH("Expected",F6)))</formula>
    </cfRule>
    <cfRule type="expression" priority="3" dxfId="2">
      <formula>OR(ISNUMBER(SEARCH("Open",F6)),ISNUMBER(SEARCH("required",F6)),ISNUMBER(SEARCH("gap",F6)))</formula>
    </cfRule>
  </conditionalFormatting>
  <dataValidations count="1">
    <dataValidation sqref="F6:F10" showDropDown="0" showInputMessage="0" showErrorMessage="0" allowBlank="0" type="list">
      <formula1>"Done,Validation pending,Closure review,Open"</formula1>
    </dataValidation>
  </dataValidations>
  <pageMargins left="0.25" right="0.25" top="0.4" bottom="0.4" header="0.3" footer="0.3"/>
  <pageSetup orientation="landscape" paperSize="9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75" customWidth="1" min="3" max="3"/>
    <col width="46" customWidth="1" min="4" max="4"/>
  </cols>
  <sheetData>
    <row r="1">
      <c r="A1" s="19" t="inlineStr">
        <is>
          <t>Release 1.0-RC1 Burndown and Evidence Gates</t>
        </is>
      </c>
    </row>
    <row r="2">
      <c r="A2" s="20" t="inlineStr">
        <is>
          <t>Closed gates</t>
        </is>
      </c>
      <c r="B2" s="20">
        <f>COUNTIF(B5:B11,"*closed*")</f>
        <v/>
      </c>
      <c r="C2" s="20" t="inlineStr">
        <is>
          <t>Total gates</t>
        </is>
      </c>
      <c r="D2" s="20">
        <f>COUNTA(A5:A11)</f>
        <v/>
      </c>
    </row>
    <row r="3">
      <c r="A3" t="inlineStr">
        <is>
          <t>Source</t>
        </is>
      </c>
      <c r="B3" s="21" t="inlineStr">
        <is>
          <t>https://github.com/vvtPhongdev/SE20A05Group7RMS/blob/main/reports/Template1_Project%20Tracking.md</t>
        </is>
      </c>
    </row>
    <row r="4" ht="30" customHeight="1">
      <c r="A4" s="22" t="inlineStr">
        <is>
          <t>Release gate</t>
        </is>
      </c>
      <c r="B4" s="22" t="inlineStr">
        <is>
          <t>GitHub state</t>
        </is>
      </c>
      <c r="C4" s="22" t="inlineStr">
        <is>
          <t>Evidence state</t>
        </is>
      </c>
      <c r="D4" s="22" t="inlineStr">
        <is>
          <t>Issue URL</t>
        </is>
      </c>
    </row>
    <row r="5" ht="42" customHeight="1">
      <c r="A5" s="23" t="inlineStr">
        <is>
          <t>Full recruitment lifecycle E2E</t>
        </is>
      </c>
      <c r="B5" s="23" t="inlineStr">
        <is>
          <t>#213 closed</t>
        </is>
      </c>
      <c r="C5" s="23" t="inlineStr">
        <is>
          <t>Script present; clean-environment run not recorded</t>
        </is>
      </c>
      <c r="D5" s="24" t="inlineStr">
        <is>
          <t>https://github.com/vvtPhongdev/SE20A05Group7RMS/issues/213</t>
        </is>
      </c>
    </row>
    <row r="6" ht="42" customHeight="1">
      <c r="A6" s="23" t="inlineStr">
        <is>
          <t>Auth E2E</t>
        </is>
      </c>
      <c r="B6" s="23" t="inlineStr">
        <is>
          <t>#214 closed</t>
        </is>
      </c>
      <c r="C6" s="23" t="inlineStr">
        <is>
          <t>Dedicated full-flow artifact not found</t>
        </is>
      </c>
      <c r="D6" s="24" t="inlineStr">
        <is>
          <t>https://github.com/vvtPhongdev/SE20A05Group7RMS/issues/214</t>
        </is>
      </c>
    </row>
    <row r="7" ht="42" customHeight="1">
      <c r="A7" s="23" t="inlineStr">
        <is>
          <t>CV pipeline E2E</t>
        </is>
      </c>
      <c r="B7" s="23" t="inlineStr">
        <is>
          <t>#215 closed</t>
        </is>
      </c>
      <c r="C7" s="23" t="inlineStr">
        <is>
          <t>Upload covered; parse/embed/search assertions incomplete</t>
        </is>
      </c>
      <c r="D7" s="24" t="inlineStr">
        <is>
          <t>https://github.com/vvtPhongdev/SE20A05Group7RMS/issues/215</t>
        </is>
      </c>
    </row>
    <row r="8" ht="42" customHeight="1">
      <c r="A8" s="23" t="inlineStr">
        <is>
          <t>Worker idempotency</t>
        </is>
      </c>
      <c r="B8" s="23" t="inlineStr">
        <is>
          <t>#223 closed</t>
        </is>
      </c>
      <c r="C8" s="23" t="inlineStr">
        <is>
          <t>Guards and unit specs present; retry/concurrency run pending</t>
        </is>
      </c>
      <c r="D8" s="24" t="inlineStr">
        <is>
          <t>https://github.com/vvtPhongdev/SE20A05Group7RMS/issues/223</t>
        </is>
      </c>
    </row>
    <row r="9" ht="42" customHeight="1">
      <c r="A9" s="23" t="inlineStr">
        <is>
          <t>Structured logging/correlation</t>
        </is>
      </c>
      <c r="B9" s="23" t="inlineStr">
        <is>
          <t>#224 closed</t>
        </is>
      </c>
      <c r="C9" s="23" t="inlineStr">
        <is>
          <t>Pino/correlation implementation present</t>
        </is>
      </c>
      <c r="D9" s="24" t="inlineStr">
        <is>
          <t>https://github.com/vvtPhongdev/SE20A05Group7RMS/issues/224</t>
        </is>
      </c>
    </row>
    <row r="10" ht="42" customHeight="1">
      <c r="A10" s="23" t="inlineStr">
        <is>
          <t>CORS/Helmet/rate limiting</t>
        </is>
      </c>
      <c r="B10" s="23" t="inlineStr">
        <is>
          <t>#227 closed</t>
        </is>
      </c>
      <c r="C10" s="23" t="inlineStr">
        <is>
          <t>Gateway implementation present</t>
        </is>
      </c>
      <c r="D10" s="24" t="inlineStr">
        <is>
          <t>https://github.com/vvtPhongdev/SE20A05Group7RMS/issues/227</t>
        </is>
      </c>
    </row>
    <row r="11" ht="42" customHeight="1">
      <c r="A11" s="23" t="inlineStr">
        <is>
          <t>CI/CD pipeline</t>
        </is>
      </c>
      <c r="B11" s="23" t="inlineStr">
        <is>
          <t>#186 closed</t>
        </is>
      </c>
      <c r="C11" s="23" t="inlineStr">
        <is>
          <t>.github/workflows artifact not found</t>
        </is>
      </c>
      <c r="D11" s="24" t="inlineStr">
        <is>
          <t>https://github.com/vvtPhongdev/SE20A05Group7RMS/issues/186</t>
        </is>
      </c>
    </row>
    <row r="13" ht="35" customHeight="1">
      <c r="A13" s="25" t="inlineStr">
        <is>
          <t>Release decision: all seven tracker items are closed, but incomplete verification evidence keeps the release label at 1.0-RC1 until clean-environment evidence is retained.</t>
        </is>
      </c>
    </row>
    <row r="14"/>
  </sheetData>
  <autoFilter ref="A4:D11"/>
  <mergeCells count="2">
    <mergeCell ref="A1:D1"/>
    <mergeCell ref="A13:D14"/>
  </mergeCells>
  <conditionalFormatting sqref="B5:B11">
    <cfRule type="expression" priority="1" dxfId="0">
      <formula>OR(ISNUMBER(SEARCH("Done",B5)),ISNUMBER(SEARCH("Closed",B5)),ISNUMBER(SEARCH("Complete",B5)),ISNUMBER(SEARCH("Resolved",B5)))</formula>
    </cfRule>
    <cfRule type="expression" priority="2" dxfId="1">
      <formula>OR(ISNUMBER(SEARCH("pending",B5)),ISNUMBER(SEARCH("review",B5)),ISNUMBER(SEARCH("Expected",B5)))</formula>
    </cfRule>
    <cfRule type="expression" priority="3" dxfId="2">
      <formula>OR(ISNUMBER(SEARCH("Open",B5)),ISNUMBER(SEARCH("required",B5)),ISNUMBER(SEARCH("gap",B5)))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</hyperlinks>
  <pageMargins left="0.25" right="0.25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KienNT</dc:creator>
  <dcterms:created xsi:type="dcterms:W3CDTF">2021-07-20T01:09:05Z</dcterms:created>
  <dcterms:modified xsi:type="dcterms:W3CDTF">2026-07-15T18:36:22Z</dcterms:modified>
  <cp:lastModifiedBy>Microsoft Office User</cp:lastModifiedBy>
</cp:coreProperties>
</file>