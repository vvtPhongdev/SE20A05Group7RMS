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U26\SWP\RMS\SE20A05Group7RMS\outputs\xlsx-completed-20260716\"/>
    </mc:Choice>
  </mc:AlternateContent>
  <xr:revisionPtr revIDLastSave="0" documentId="13_ncr:1_{DFC9DF10-0706-47B3-83FF-D4B3A9B42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" sheetId="1" r:id="rId1"/>
    <sheet name="Iter1" sheetId="2" r:id="rId2"/>
    <sheet name="Iter2" sheetId="3" r:id="rId3"/>
    <sheet name="Iter3" sheetId="4" r:id="rId4"/>
    <sheet name="Iter4" sheetId="5" r:id="rId5"/>
    <sheet name="Release Gates" sheetId="6" r:id="rId6"/>
  </sheets>
  <definedNames>
    <definedName name="_xlnm._FilterDatabase" localSheetId="1" hidden="1">Iter1!$A$5:$I$9</definedName>
    <definedName name="_xlnm._FilterDatabase" localSheetId="2" hidden="1">Iter2!$A$5:$I$9</definedName>
    <definedName name="_xlnm._FilterDatabase" localSheetId="3" hidden="1">Iter3!$A$5:$I$9</definedName>
    <definedName name="_xlnm._FilterDatabase" localSheetId="4" hidden="1">Iter4!$A$5:$I$10</definedName>
    <definedName name="_xlnm._FilterDatabase" localSheetId="0" hidden="1">Project!$A$3:$J$38</definedName>
    <definedName name="_xlnm._FilterDatabase" localSheetId="5" hidden="1">'Release Gates'!$A$4:$D$11</definedName>
    <definedName name="_xlnm.Print_Area" localSheetId="1">Iter1!$A$1:$I$9</definedName>
    <definedName name="_xlnm.Print_Area" localSheetId="2">Iter2!$A$1:$I$9</definedName>
    <definedName name="_xlnm.Print_Area" localSheetId="3">Iter3!$A$1:$I$9</definedName>
    <definedName name="_xlnm.Print_Area" localSheetId="4">Iter4!$A$1:$I$10</definedName>
    <definedName name="_xlnm.Print_Area" localSheetId="0">Project!$A$1:$J$38</definedName>
    <definedName name="_xlnm.Print_Area" localSheetId="5">'Release Gates'!$A$1:$D$14</definedName>
    <definedName name="_xlnm.Print_Titles" localSheetId="1">Iter1!$1:$5</definedName>
    <definedName name="_xlnm.Print_Titles" localSheetId="2">Iter2!$1:$5</definedName>
    <definedName name="_xlnm.Print_Titles" localSheetId="3">Iter3!$1:$5</definedName>
    <definedName name="_xlnm.Print_Titles" localSheetId="4">Iter4!$1:$5</definedName>
    <definedName name="_xlnm.Print_Titles" localSheetId="0">Project!$1:$3</definedName>
    <definedName name="_xlnm.Print_Titles" localSheetId="5">'Release Gates'!$4:$4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B2" i="6"/>
  <c r="A10" i="5"/>
  <c r="A9" i="5"/>
  <c r="A8" i="5"/>
  <c r="A7" i="5"/>
  <c r="A6" i="5"/>
  <c r="A9" i="4"/>
  <c r="A8" i="4"/>
  <c r="A7" i="4"/>
  <c r="A6" i="4"/>
  <c r="A9" i="3"/>
  <c r="A8" i="3"/>
  <c r="A7" i="3"/>
  <c r="A6" i="3"/>
  <c r="A9" i="2"/>
  <c r="A8" i="2"/>
  <c r="A7" i="2"/>
  <c r="A6" i="2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100-000001000000}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 xr:uid="{00000000-0006-0000-0100-000002000000}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200-000001000000}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 xr:uid="{00000000-0006-0000-0200-000002000000}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300-000001000000}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 xr:uid="{00000000-0006-0000-0300-000002000000}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400-000001000000}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 xr:uid="{00000000-0006-0000-0400-000002000000}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<sst xmlns="http://schemas.openxmlformats.org/spreadsheetml/2006/main" count="518" uniqueCount="301">
  <si>
    <t>RMS Total Project Tracking</t>
  </si>
  <si>
    <t>Release 1.0-RC1 | Baseline 2026-07-15 | Product register mapped to RDS/SDS and iteration evidence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</si>
  <si>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</si>
  <si>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</si>
  <si>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</si>
  <si>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</si>
  <si>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</si>
  <si>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</si>
  <si>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</si>
  <si>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</si>
  <si>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</si>
  <si>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</si>
  <si>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Login, registration, OTP, password reset</t>
  </si>
  <si>
    <t>Authentication</t>
  </si>
  <si>
    <t>All</t>
  </si>
  <si>
    <t>Account and session lifecycle, including Google/Supabase-backed flow</t>
  </si>
  <si>
    <t>WS-3/WS-4</t>
  </si>
  <si>
    <t>Validation pending (#214)</t>
  </si>
  <si>
    <t>Iter4 hardening</t>
  </si>
  <si>
    <t>Planned: Iter1 | Trace: RDS 4.1 / SDS 4.1</t>
  </si>
  <si>
    <t>Admin Dashboard</t>
  </si>
  <si>
    <t>Tracking</t>
  </si>
  <si>
    <t>Admin</t>
  </si>
  <si>
    <t>Approval, campaign and hiring overview</t>
  </si>
  <si>
    <t>WS-2</t>
  </si>
  <si>
    <t>Done</t>
  </si>
  <si>
    <t>Iter2</t>
  </si>
  <si>
    <t>Planned: Iter2 | Trace: RDS 4.8 / SDS 4.8</t>
  </si>
  <si>
    <t>Admin Approval Queue</t>
  </si>
  <si>
    <t>Request/Plan Governance</t>
  </si>
  <si>
    <t>Approve, reject or request revision for requests/plans</t>
  </si>
  <si>
    <t>WS-2/WS-5</t>
  </si>
  <si>
    <t>Validation pending (#213)</t>
  </si>
  <si>
    <t>Iter3</t>
  </si>
  <si>
    <t>Planned: Iter2 | Trace: RDS 4.2-4.3 / SDS 4.2-4.3</t>
  </si>
  <si>
    <t>Admin All Requests</t>
  </si>
  <si>
    <t>Global request search, status and timeline</t>
  </si>
  <si>
    <t>Admin Interview Results</t>
  </si>
  <si>
    <t>Hiring Decision</t>
  </si>
  <si>
    <t>Review feedback and make final hire/reject decision</t>
  </si>
  <si>
    <t>WS-1/WS-5</t>
  </si>
  <si>
    <t>Iter4</t>
  </si>
  <si>
    <t>Planned: Iter3 | Trace: RDS 4.6 / SDS 4.6</t>
  </si>
  <si>
    <t>Admin Users</t>
  </si>
  <si>
    <t>Identity</t>
  </si>
  <si>
    <t>Create/update users, role and active status</t>
  </si>
  <si>
    <t>WS-4</t>
  </si>
  <si>
    <t>Admin Settings</t>
  </si>
  <si>
    <t>Organization</t>
  </si>
  <si>
    <t>Organization and department configuration</t>
  </si>
  <si>
    <t>Annual Reports</t>
  </si>
  <si>
    <t>Reporting</t>
  </si>
  <si>
    <t>Annual metrics, time-to-hire and export</t>
  </si>
  <si>
    <t>WS-2/WS-1</t>
  </si>
  <si>
    <t>Planned: Iter4 | Trace: RDS 4.8 / SDS 4.8</t>
  </si>
  <si>
    <t>Department Statistics</t>
  </si>
  <si>
    <t>Department-level recruitment metrics</t>
  </si>
  <si>
    <t>Department Dashboard</t>
  </si>
  <si>
    <t>Department Head</t>
  </si>
  <si>
    <t>Own department requests, status and progress</t>
  </si>
  <si>
    <t>Create Request</t>
  </si>
  <si>
    <t>Recruitment Request</t>
  </si>
  <si>
    <t>Create draft with position, headcount, JD, skills, justification and urgency</t>
  </si>
  <si>
    <t>Iter4 alignment</t>
  </si>
  <si>
    <t>Planned: Iter2 | Trace: RDS 4.2 / SDS 4.2</t>
  </si>
  <si>
    <t>Department Requests</t>
  </si>
  <si>
    <t>Edit/resubmit/delete allowed requests and view timeline</t>
  </si>
  <si>
    <t>WS-2/WS-3</t>
  </si>
  <si>
    <t>Department Interviews</t>
  </si>
  <si>
    <t>Interview</t>
  </si>
  <si>
    <t>View invited interviews and attendance</t>
  </si>
  <si>
    <t>WS-1/WS-2</t>
  </si>
  <si>
    <t>Planned: Iter3 | Trace: RDS 4.5 / SDS 4.5</t>
  </si>
  <si>
    <t>Department Feedback</t>
  </si>
  <si>
    <t>Interview Result</t>
  </si>
  <si>
    <t>Submit panel scores and decision</t>
  </si>
  <si>
    <t>Planned: Iter3 | Trace: RDS 4.5 / SDS 4.6</t>
  </si>
  <si>
    <t>Department Settings</t>
  </si>
  <si>
    <t>View/update allowed department data and team</t>
  </si>
  <si>
    <t>Planned: Iter2 | Trace: RDS 4.1 / SDS 4.1</t>
  </si>
  <si>
    <t>HR Dashboard</t>
  </si>
  <si>
    <t>HR Leader</t>
  </si>
  <si>
    <t>Queue, campaign, task and interview summary</t>
  </si>
  <si>
    <t>HR Request Queue</t>
  </si>
  <si>
    <t>Request Review</t>
  </si>
  <si>
    <t>Assign/claim, edit, return and forward requests</t>
  </si>
  <si>
    <t>WS-1/WS-3</t>
  </si>
  <si>
    <t>Campaigns and Campaign Detail</t>
  </si>
  <si>
    <t>Planning</t>
  </si>
  <si>
    <t>Create, submit, resubmit and start OverallPlan</t>
  </si>
  <si>
    <t>Planned: Iter2 | Trace: RDS 4.3 / SDS 4.3</t>
  </si>
  <si>
    <t>Task Planner</t>
  </si>
  <si>
    <t>Create, assign and update dated campaign tasks</t>
  </si>
  <si>
    <t>Job Posting Workspace</t>
  </si>
  <si>
    <t>Job Posting</t>
  </si>
  <si>
    <t>HR Leader/Admin</t>
  </si>
  <si>
    <t>Draft, upload media, publish and close posting</t>
  </si>
  <si>
    <t>Planned: Iter3 | Trace: RDS 4.4 / SDS 4.3</t>
  </si>
  <si>
    <t>Talent Pool</t>
  </si>
  <si>
    <t>Candidate Management</t>
  </si>
  <si>
    <t>Browse candidate profile and current CV</t>
  </si>
  <si>
    <t>WS-1/WS-4</t>
  </si>
  <si>
    <t>Planned: Iter3 | Trace: RDS 4.4 / SDS 4.4</t>
  </si>
  <si>
    <t>Candidate Search</t>
  </si>
  <si>
    <t>CV Search</t>
  </si>
  <si>
    <t>Vector/hybrid search, shortlist and feedback</t>
  </si>
  <si>
    <t>WS-4/WS-3</t>
  </si>
  <si>
    <t>Validation pending (#215)</t>
  </si>
  <si>
    <t>Interview Schedule</t>
  </si>
  <si>
    <t>Plan-locked schedule, panel validation, conflicts and invitations</t>
  </si>
  <si>
    <t>Interview Detail</t>
  </si>
  <si>
    <t>Candidate, panel attendance, invitation and result details</t>
  </si>
  <si>
    <t>Interview Results</t>
  </si>
  <si>
    <t>Own feedback plus final recommendation to Admin</t>
  </si>
  <si>
    <t>Planned: Iter3 | Trace: RDS 4.5-4.6 / SDS 4.6</t>
  </si>
  <si>
    <t>Pipeline Reports</t>
  </si>
  <si>
    <t>Pipeline overview and time-to-hire metrics</t>
  </si>
  <si>
    <t>WS-4/WS-1</t>
  </si>
  <si>
    <t>HR Notifications</t>
  </si>
  <si>
    <t>Communications</t>
  </si>
  <si>
    <t>In-app/SSE notification history and read state</t>
  </si>
  <si>
    <t>WS-1</t>
  </si>
  <si>
    <t>Planned: Iter4 | Trace: RDS 4.7 / SDS 4.7</t>
  </si>
  <si>
    <t>Candidate Dashboard/Profile</t>
  </si>
  <si>
    <t>Candidate</t>
  </si>
  <si>
    <t>Maintain personal profile/avatar and view workflow summary</t>
  </si>
  <si>
    <t>WS-2/WS-4</t>
  </si>
  <si>
    <t>Planned: Iter2 | Trace: RDS 4.4 / SDS 4.4</t>
  </si>
  <si>
    <t>Candidate CV</t>
  </si>
  <si>
    <t>CV Intake</t>
  </si>
  <si>
    <t>Upload, replace, delete and monitor PDF/DOC/DOCX processing</t>
  </si>
  <si>
    <t>Candidate Interviews</t>
  </si>
  <si>
    <t>View schedule and confirm/reschedule/cancel</t>
  </si>
  <si>
    <t>Candidate Offers</t>
  </si>
  <si>
    <t>Offer</t>
  </si>
  <si>
    <t>View offer and submit immutable accept/decline response</t>
  </si>
  <si>
    <t>WS-5/WS-2</t>
  </si>
  <si>
    <t>Planned: Iter4 | Trace: RDS 4.6 / SDS 4.6</t>
  </si>
  <si>
    <t>Candidate Notifications</t>
  </si>
  <si>
    <t>View interview, status and offer messages</t>
  </si>
  <si>
    <t>CV parse and embedding workers</t>
  </si>
  <si>
    <t>Async Processing</t>
  </si>
  <si>
    <t>System</t>
  </si>
  <si>
    <t>Parse CV, structured extraction and vector generation</t>
  </si>
  <si>
    <t>Validation pending (#215, #223)</t>
  </si>
  <si>
    <t>Task deadline reminders</t>
  </si>
  <si>
    <t>Idempotent 24-hour/deadline reminder records and email jobs</t>
  </si>
  <si>
    <t>WS-5</t>
  </si>
  <si>
    <t>Validation pending (#223)</t>
  </si>
  <si>
    <t>Planned: Iter4 | Trace: RDS 5.3 / SDS 4.7</t>
  </si>
  <si>
    <t>Health and operational hardening</t>
  </si>
  <si>
    <t>Operations</t>
  </si>
  <si>
    <t>Admin/System</t>
  </si>
  <si>
    <t>Closure evidence review (#186, #224, #227)</t>
  </si>
  <si>
    <t>Partial</t>
  </si>
  <si>
    <t>Planned: Iter4 | Trace: RDS 5.5 / SDS 5.4</t>
  </si>
  <si>
    <t>Iteration Tracking - Iteration 1</t>
  </si>
  <si>
    <t>Planned scope and end-of-iteration result for Iteration 1</t>
  </si>
  <si>
    <t>Columns B-D map the work item, identifier and implemented result from REP-01</t>
  </si>
  <si>
    <t>Columns E-I record ownership, status, RDS/SDS trace and verification notes</t>
  </si>
  <si>
    <t>Screen / Function</t>
  </si>
  <si>
    <t>Work Item ID</t>
  </si>
  <si>
    <t>RDS / FR</t>
  </si>
  <si>
    <t>SDS / UC</t>
  </si>
  <si>
    <t>Notes</t>
  </si>
  <si>
    <t>Monorepo, shared packages and database baseline</t>
  </si>
  <si>
    <t>I1-01</t>
  </si>
  <si>
    <t>Node/TypeScript/Turborepo structure established</t>
  </si>
  <si>
    <t>REP-02 / REP-01</t>
  </si>
  <si>
    <t>SDS 2-3</t>
  </si>
  <si>
    <t>Source trace: SDS 2-3</t>
  </si>
  <si>
    <t>Auth, JWT, refresh token and role guard</t>
  </si>
  <si>
    <t>I1-02</t>
  </si>
  <si>
    <t>Identity TCP service and Gateway protection</t>
  </si>
  <si>
    <t>Validation pending</t>
  </si>
  <si>
    <t>UC-01..UC-07, issue #214</t>
  </si>
  <si>
    <t>REP-03 mapped design</t>
  </si>
  <si>
    <t>Source trace: UC-01..UC-07, issue #214</t>
  </si>
  <si>
    <t>Organization, department and user administration</t>
  </si>
  <si>
    <t>I1-03</t>
  </si>
  <si>
    <t>Identity CRUD and role-scoped UI</t>
  </si>
  <si>
    <t>FR-01</t>
  </si>
  <si>
    <t>Source trace: FR-01</t>
  </si>
  <si>
    <t>RMS pivot requirements and workflow</t>
  </si>
  <si>
    <t>I1-04</t>
  </si>
  <si>
    <t>Four-role workflow and plan-lock documented</t>
  </si>
  <si>
    <t>FR-02..FR-07</t>
  </si>
  <si>
    <t>Source trace: FR-02..FR-07</t>
  </si>
  <si>
    <t>Iteration Tracking - Iteration 2</t>
  </si>
  <si>
    <t>Planned scope and end-of-iteration result for Iteration 2</t>
  </si>
  <si>
    <t>Department Head request lifecycle</t>
  </si>
  <si>
    <t>I2-01</t>
  </si>
  <si>
    <t>Create/edit/submit/revise/track screens and services</t>
  </si>
  <si>
    <t>FR-02, issue #213</t>
  </si>
  <si>
    <t>Source trace: FR-02, issue #213</t>
  </si>
  <si>
    <t>HR review and Admin approval</t>
  </si>
  <si>
    <t>I2-02</t>
  </si>
  <si>
    <t>Assign, return, forward, approve/reject/request-changes</t>
  </si>
  <si>
    <t>FR-03, issue #213</t>
  </si>
  <si>
    <t>Source trace: FR-03, issue #213</t>
  </si>
  <si>
    <t>OverallPlan and TaskPlan</t>
  </si>
  <si>
    <t>I2-03</t>
  </si>
  <si>
    <t>Plan submit/approve/reject/resubmit/start and task operations</t>
  </si>
  <si>
    <t>FR-04..FR-07</t>
  </si>
  <si>
    <t>Source trace: FR-04..FR-07</t>
  </si>
  <si>
    <t>Role dashboards</t>
  </si>
  <si>
    <t>I2-04</t>
  </si>
  <si>
    <t>Admin/HR/Department summary screens</t>
  </si>
  <si>
    <t>FR-20, FR-22</t>
  </si>
  <si>
    <t>Source trace: FR-20, FR-22</t>
  </si>
  <si>
    <t>Iteration Tracking - Iteration 3</t>
  </si>
  <si>
    <t>Planned scope and end-of-iteration result for Iteration 3</t>
  </si>
  <si>
    <t>Candidate profile and CV lifecycle</t>
  </si>
  <si>
    <t>I3-01</t>
  </si>
  <si>
    <t>Profile, upload, replace, delete and processing state</t>
  </si>
  <si>
    <t>WS-1/WS-2/WS-3</t>
  </si>
  <si>
    <t>FR-08..FR-10, issue #215</t>
  </si>
  <si>
    <t>Source trace: FR-08..FR-10, issue #215</t>
  </si>
  <si>
    <t>Talent search and shortlist</t>
  </si>
  <si>
    <t>I3-02</t>
  </si>
  <si>
    <t>Vector/hybrid search with feedback records</t>
  </si>
  <si>
    <t>FR-11, issue #215</t>
  </si>
  <si>
    <t>Source trace: FR-11, issue #215</t>
  </si>
  <si>
    <t>Interview schedule and invitation</t>
  </si>
  <si>
    <t>I3-03</t>
  </si>
  <si>
    <t>Plan-lock, panel, conflicts, notifications and email</t>
  </si>
  <si>
    <t>FR-12, FR-13, FR-16</t>
  </si>
  <si>
    <t>Source trace: FR-12, FR-13, FR-16</t>
  </si>
  <si>
    <t>Panel feedback and recommendation</t>
  </si>
  <si>
    <t>I3-04</t>
  </si>
  <si>
    <t>Per-evaluator feedback and HR recommendation</t>
  </si>
  <si>
    <t>FR-14</t>
  </si>
  <si>
    <t>Source trace: FR-14</t>
  </si>
  <si>
    <t>Iteration Tracking - Iteration 4</t>
  </si>
  <si>
    <t>Planned scope and end-of-iteration result for Iteration 4</t>
  </si>
  <si>
    <t>Admin final decision and offer response</t>
  </si>
  <si>
    <t>I4-01</t>
  </si>
  <si>
    <t>Atomic hire/reject communication and candidate response</t>
  </si>
  <si>
    <t>WS-5/WS-1</t>
  </si>
  <si>
    <t>FR-15, FR-17, FR-18; issue #213</t>
  </si>
  <si>
    <t>Source trace: FR-15, FR-17, FR-18; issue #213</t>
  </si>
  <si>
    <t>Notifications and reminders</t>
  </si>
  <si>
    <t>I4-02</t>
  </si>
  <si>
    <t>SSE/in-app/email plus task deadline reminders</t>
  </si>
  <si>
    <t>FR-19; issue #223</t>
  </si>
  <si>
    <t>Source trace: FR-19; issue #223</t>
  </si>
  <si>
    <t>Annual, department and pipeline reports</t>
  </si>
  <si>
    <t>I4-03</t>
  </si>
  <si>
    <t>Role-scoped tracking, metrics and export</t>
  </si>
  <si>
    <t>WS-1/WS-4/WS-2</t>
  </si>
  <si>
    <t>FR-20..FR-22</t>
  </si>
  <si>
    <t>Source trace: FR-20..FR-22</t>
  </si>
  <si>
    <t>Documentation and diagram set</t>
  </si>
  <si>
    <t>I4-04</t>
  </si>
  <si>
    <t>Six reports, traceability, PUML and Excalidraw mapping</t>
  </si>
  <si>
    <t>WS-3 + all</t>
  </si>
  <si>
    <t>Source trace: REP-00..REP-05</t>
  </si>
  <si>
    <t>Release hardening</t>
  </si>
  <si>
    <t>I4-05</t>
  </si>
  <si>
    <t>Logging/rate-limit code present; GitHub Actions workflow absent</t>
  </si>
  <si>
    <t>Closure review</t>
  </si>
  <si>
    <t>Source trace: Closed issues #186, #224, #227</t>
  </si>
  <si>
    <t>Release 1.0-RC1 Burndown and Evidence Gates</t>
  </si>
  <si>
    <t>Closed gates</t>
  </si>
  <si>
    <t>Total gates</t>
  </si>
  <si>
    <t>Source</t>
  </si>
  <si>
    <t>https://github.com/vvtPhongdev/SE20A05Group7RMS/blob/main/reports/Template1_Project%20Tracking.md</t>
  </si>
  <si>
    <t>Release gate</t>
  </si>
  <si>
    <t>GitHub state</t>
  </si>
  <si>
    <t>Evidence state</t>
  </si>
  <si>
    <t>Issue URL</t>
  </si>
  <si>
    <t>Full recruitment lifecycle E2E</t>
  </si>
  <si>
    <t>#213 closed</t>
  </si>
  <si>
    <t>Script present; clean-environment run not recorded</t>
  </si>
  <si>
    <t>https://github.com/vvtPhongdev/SE20A05Group7RMS/issues/213</t>
  </si>
  <si>
    <t>Auth E2E</t>
  </si>
  <si>
    <t>#214 closed</t>
  </si>
  <si>
    <t>Dedicated full-flow artifact not found</t>
  </si>
  <si>
    <t>https://github.com/vvtPhongdev/SE20A05Group7RMS/issues/214</t>
  </si>
  <si>
    <t>CV pipeline E2E</t>
  </si>
  <si>
    <t>#215 closed</t>
  </si>
  <si>
    <t>Upload covered; parse/embed/search assertions incomplete</t>
  </si>
  <si>
    <t>https://github.com/vvtPhongdev/SE20A05Group7RMS/issues/215</t>
  </si>
  <si>
    <t>Worker idempotency</t>
  </si>
  <si>
    <t>#223 closed</t>
  </si>
  <si>
    <t>Guards and unit specs present; retry/concurrency run pending</t>
  </si>
  <si>
    <t>https://github.com/vvtPhongdev/SE20A05Group7RMS/issues/223</t>
  </si>
  <si>
    <t>Structured logging/correlation</t>
  </si>
  <si>
    <t>#224 closed</t>
  </si>
  <si>
    <t>Pino/correlation implementation present</t>
  </si>
  <si>
    <t>https://github.com/vvtPhongdev/SE20A05Group7RMS/issues/224</t>
  </si>
  <si>
    <t>CORS/Helmet/rate limiting</t>
  </si>
  <si>
    <t>#227 closed</t>
  </si>
  <si>
    <t>Gateway implementation present</t>
  </si>
  <si>
    <t>https://github.com/vvtPhongdev/SE20A05Group7RMS/issues/227</t>
  </si>
  <si>
    <t>CI/CD pipeline</t>
  </si>
  <si>
    <t>#186 closed</t>
  </si>
  <si>
    <t>.github/workflows artifact not found</t>
  </si>
  <si>
    <t>https://github.com/vvtPhongdev/SE20A05Group7RMS/issues/186</t>
  </si>
  <si>
    <t>Release decision: all seven tracker items are closed, but incomplete verification evidence keeps the release label at 1.0-RC1 until clean-environment evidence is retained.</t>
  </si>
  <si>
    <t>Aggregated health, exception handling, logging, rate limits and CI/CD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</si>
</sst>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i/>
      <sz val="10"/>
      <color rgb="FFC00000"/>
      <name val="Arial"/>
      <family val="2"/>
    </font>
    <font>
      <b/>
      <sz val="14"/>
      <name val="Arial"/>
    </font>
    <font>
      <b/>
      <sz val="10"/>
      <color rgb="FF000000"/>
      <name val="Arial"/>
    </font>
    <font>
      <sz val="9"/>
      <name val="Arial"/>
    </font>
    <font>
      <u/>
      <sz val="9"/>
      <color rgb="FF0563C1"/>
      <name val="Arial"/>
    </font>
    <font>
      <b/>
      <sz val="10"/>
      <name val="Arial"/>
    </font>
    <font>
      <u/>
      <sz val="10"/>
      <color rgb="FF0563C1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2" fillId="0" borderId="0" xfId="1" applyAlignment="1">
      <alignment horizontal="center" vertical="top"/>
    </xf>
    <xf numFmtId="0" fontId="2" fillId="0" borderId="0" xfId="1" applyAlignment="1">
      <alignment vertical="top"/>
    </xf>
    <xf numFmtId="0" fontId="3" fillId="0" borderId="1" xfId="1" applyFont="1" applyBorder="1" applyAlignment="1">
      <alignment vertical="top" wrapText="1"/>
    </xf>
    <xf numFmtId="0" fontId="4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1" xfId="2" applyFont="1" applyBorder="1" applyAlignment="1">
      <alignment vertical="top" wrapText="1"/>
    </xf>
    <xf numFmtId="164" fontId="3" fillId="0" borderId="1" xfId="1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3" fillId="5" borderId="2" xfId="0" applyFont="1" applyFill="1" applyBorder="1" applyAlignment="1">
      <alignment horizontal="center"/>
    </xf>
    <xf numFmtId="0" fontId="14" fillId="0" borderId="0" xfId="0" applyFont="1"/>
    <xf numFmtId="0" fontId="10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9" fillId="4" borderId="0" xfId="0" applyFont="1" applyFill="1" applyAlignment="1">
      <alignment horizontal="center"/>
    </xf>
    <xf numFmtId="0" fontId="0" fillId="0" borderId="0" xfId="0"/>
    <xf numFmtId="0" fontId="0" fillId="6" borderId="2" xfId="0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8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vtPhongdev/SE20A05Group7RMS/issues/186" TargetMode="External"/><Relationship Id="rId3" Type="http://schemas.openxmlformats.org/officeDocument/2006/relationships/hyperlink" Target="https://github.com/vvtPhongdev/SE20A05Group7RMS/issues/214" TargetMode="External"/><Relationship Id="rId7" Type="http://schemas.openxmlformats.org/officeDocument/2006/relationships/hyperlink" Target="https://github.com/vvtPhongdev/SE20A05Group7RMS/issues/227" TargetMode="External"/><Relationship Id="rId2" Type="http://schemas.openxmlformats.org/officeDocument/2006/relationships/hyperlink" Target="https://github.com/vvtPhongdev/SE20A05Group7RMS/issues/213" TargetMode="External"/><Relationship Id="rId1" Type="http://schemas.openxmlformats.org/officeDocument/2006/relationships/hyperlink" Target="https://github.com/vvtPhongdev/SE20A05Group7RMS/blob/main/reports/Template1_Project%20Tracking.md" TargetMode="External"/><Relationship Id="rId6" Type="http://schemas.openxmlformats.org/officeDocument/2006/relationships/hyperlink" Target="https://github.com/vvtPhongdev/SE20A05Group7RMS/issues/224" TargetMode="External"/><Relationship Id="rId5" Type="http://schemas.openxmlformats.org/officeDocument/2006/relationships/hyperlink" Target="https://github.com/vvtPhongdev/SE20A05Group7RMS/issues/223" TargetMode="External"/><Relationship Id="rId4" Type="http://schemas.openxmlformats.org/officeDocument/2006/relationships/hyperlink" Target="https://github.com/vvtPhongdev/SE20A05Group7RMS/issues/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J38"/>
  <sheetViews>
    <sheetView showGridLines="0" tabSelected="1" zoomScale="110" zoomScaleNormal="110" workbookViewId="0">
      <pane ySplit="3" topLeftCell="A35" activePane="bottomLeft" state="frozen"/>
      <selection pane="bottomLeft" activeCell="F43" sqref="F43"/>
    </sheetView>
  </sheetViews>
  <sheetFormatPr defaultColWidth="10.77734375" defaultRowHeight="13.2" x14ac:dyDescent="0.25"/>
  <cols>
    <col min="1" max="1" width="5" style="1" customWidth="1"/>
    <col min="2" max="2" width="34" style="2" bestFit="1" customWidth="1"/>
    <col min="3" max="3" width="24" style="2" customWidth="1"/>
    <col min="4" max="4" width="18" style="2" customWidth="1"/>
    <col min="5" max="5" width="58" style="2" bestFit="1" customWidth="1"/>
    <col min="6" max="6" width="16" style="2" bestFit="1" customWidth="1"/>
    <col min="7" max="7" width="28" style="2" bestFit="1" customWidth="1"/>
    <col min="8" max="8" width="18" style="2" customWidth="1"/>
    <col min="9" max="9" width="13" customWidth="1"/>
    <col min="10" max="10" width="34" style="2" customWidth="1"/>
    <col min="11" max="11" width="10.77734375" style="2" customWidth="1"/>
    <col min="12" max="16384" width="10.77734375" style="2"/>
  </cols>
  <sheetData>
    <row r="1" spans="1:10" ht="18" customHeight="1" x14ac:dyDescent="0.25">
      <c r="A1" s="7" t="s">
        <v>0</v>
      </c>
    </row>
    <row r="2" spans="1:10" x14ac:dyDescent="0.25">
      <c r="A2" s="8" t="s">
        <v>1</v>
      </c>
    </row>
    <row r="3" spans="1:10" x14ac:dyDescent="0.25">
      <c r="A3" s="5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ht="58.05" customHeight="1" x14ac:dyDescent="0.25">
      <c r="A4" s="3">
        <f t="shared" ref="A4:A38" si="0">ROW()-3</f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10" t="s">
        <v>16</v>
      </c>
      <c r="G4" s="3" t="s">
        <v>17</v>
      </c>
      <c r="H4" s="3" t="s">
        <v>18</v>
      </c>
      <c r="I4" s="11">
        <v>46218</v>
      </c>
      <c r="J4" s="3" t="s">
        <v>19</v>
      </c>
    </row>
    <row r="5" spans="1:10" ht="58.05" customHeight="1" x14ac:dyDescent="0.25">
      <c r="A5" s="3">
        <f t="shared" si="0"/>
        <v>2</v>
      </c>
      <c r="B5" s="3" t="s">
        <v>20</v>
      </c>
      <c r="C5" s="3" t="s">
        <v>21</v>
      </c>
      <c r="D5" s="3" t="s">
        <v>22</v>
      </c>
      <c r="E5" s="3" t="s">
        <v>23</v>
      </c>
      <c r="F5" s="10" t="s">
        <v>24</v>
      </c>
      <c r="G5" s="3" t="s">
        <v>25</v>
      </c>
      <c r="H5" s="3" t="s">
        <v>26</v>
      </c>
      <c r="I5" s="11">
        <v>46218</v>
      </c>
      <c r="J5" s="3" t="s">
        <v>27</v>
      </c>
    </row>
    <row r="6" spans="1:10" ht="58.05" customHeight="1" x14ac:dyDescent="0.25">
      <c r="A6" s="3">
        <f t="shared" si="0"/>
        <v>3</v>
      </c>
      <c r="B6" s="3" t="s">
        <v>28</v>
      </c>
      <c r="C6" s="3" t="s">
        <v>29</v>
      </c>
      <c r="D6" s="3" t="s">
        <v>22</v>
      </c>
      <c r="E6" s="3" t="s">
        <v>30</v>
      </c>
      <c r="F6" s="10" t="s">
        <v>31</v>
      </c>
      <c r="G6" s="3" t="s">
        <v>32</v>
      </c>
      <c r="H6" s="3" t="s">
        <v>33</v>
      </c>
      <c r="I6" s="11">
        <v>46218</v>
      </c>
      <c r="J6" s="3" t="s">
        <v>34</v>
      </c>
    </row>
    <row r="7" spans="1:10" ht="58.05" customHeight="1" x14ac:dyDescent="0.25">
      <c r="A7" s="3">
        <f t="shared" si="0"/>
        <v>4</v>
      </c>
      <c r="B7" s="3" t="s">
        <v>35</v>
      </c>
      <c r="C7" s="3" t="s">
        <v>21</v>
      </c>
      <c r="D7" s="3" t="s">
        <v>22</v>
      </c>
      <c r="E7" s="3" t="s">
        <v>36</v>
      </c>
      <c r="F7" s="10" t="s">
        <v>24</v>
      </c>
      <c r="G7" s="3" t="s">
        <v>25</v>
      </c>
      <c r="H7" s="3" t="s">
        <v>33</v>
      </c>
      <c r="I7" s="11">
        <v>46218</v>
      </c>
      <c r="J7" s="3" t="s">
        <v>27</v>
      </c>
    </row>
    <row r="8" spans="1:10" ht="58.05" customHeight="1" x14ac:dyDescent="0.25">
      <c r="A8" s="3">
        <f t="shared" si="0"/>
        <v>5</v>
      </c>
      <c r="B8" s="3" t="s">
        <v>37</v>
      </c>
      <c r="C8" s="3" t="s">
        <v>38</v>
      </c>
      <c r="D8" s="3" t="s">
        <v>22</v>
      </c>
      <c r="E8" s="3" t="s">
        <v>39</v>
      </c>
      <c r="F8" s="10" t="s">
        <v>40</v>
      </c>
      <c r="G8" s="3" t="s">
        <v>32</v>
      </c>
      <c r="H8" s="3" t="s">
        <v>41</v>
      </c>
      <c r="I8" s="11">
        <v>46218</v>
      </c>
      <c r="J8" s="3" t="s">
        <v>42</v>
      </c>
    </row>
    <row r="9" spans="1:10" ht="58.05" customHeight="1" x14ac:dyDescent="0.25">
      <c r="A9" s="3">
        <f t="shared" si="0"/>
        <v>6</v>
      </c>
      <c r="B9" s="3" t="s">
        <v>43</v>
      </c>
      <c r="C9" s="3" t="s">
        <v>44</v>
      </c>
      <c r="D9" s="3" t="s">
        <v>22</v>
      </c>
      <c r="E9" s="3" t="s">
        <v>45</v>
      </c>
      <c r="F9" s="10" t="s">
        <v>46</v>
      </c>
      <c r="G9" s="3" t="s">
        <v>25</v>
      </c>
      <c r="H9" s="3" t="s">
        <v>33</v>
      </c>
      <c r="I9" s="11">
        <v>46218</v>
      </c>
      <c r="J9" s="3" t="s">
        <v>19</v>
      </c>
    </row>
    <row r="10" spans="1:10" ht="58.05" customHeight="1" x14ac:dyDescent="0.25">
      <c r="A10" s="3">
        <f t="shared" si="0"/>
        <v>7</v>
      </c>
      <c r="B10" s="3" t="s">
        <v>47</v>
      </c>
      <c r="C10" s="3" t="s">
        <v>48</v>
      </c>
      <c r="D10" s="3" t="s">
        <v>22</v>
      </c>
      <c r="E10" s="3" t="s">
        <v>49</v>
      </c>
      <c r="F10" s="10" t="s">
        <v>46</v>
      </c>
      <c r="G10" s="3" t="s">
        <v>25</v>
      </c>
      <c r="H10" s="3" t="s">
        <v>33</v>
      </c>
      <c r="I10" s="11">
        <v>46218</v>
      </c>
      <c r="J10" s="3" t="s">
        <v>19</v>
      </c>
    </row>
    <row r="11" spans="1:10" ht="58.05" customHeight="1" x14ac:dyDescent="0.25">
      <c r="A11" s="3">
        <f t="shared" si="0"/>
        <v>8</v>
      </c>
      <c r="B11" s="3" t="s">
        <v>50</v>
      </c>
      <c r="C11" s="3" t="s">
        <v>51</v>
      </c>
      <c r="D11" s="3" t="s">
        <v>22</v>
      </c>
      <c r="E11" s="3" t="s">
        <v>52</v>
      </c>
      <c r="F11" s="10" t="s">
        <v>53</v>
      </c>
      <c r="G11" s="3" t="s">
        <v>25</v>
      </c>
      <c r="H11" s="3" t="s">
        <v>41</v>
      </c>
      <c r="I11" s="11">
        <v>46218</v>
      </c>
      <c r="J11" s="3" t="s">
        <v>54</v>
      </c>
    </row>
    <row r="12" spans="1:10" ht="58.05" customHeight="1" x14ac:dyDescent="0.25">
      <c r="A12" s="3">
        <f t="shared" si="0"/>
        <v>9</v>
      </c>
      <c r="B12" s="3" t="s">
        <v>55</v>
      </c>
      <c r="C12" s="3" t="s">
        <v>51</v>
      </c>
      <c r="D12" s="3" t="s">
        <v>22</v>
      </c>
      <c r="E12" s="3" t="s">
        <v>56</v>
      </c>
      <c r="F12" s="10" t="s">
        <v>53</v>
      </c>
      <c r="G12" s="3" t="s">
        <v>25</v>
      </c>
      <c r="H12" s="3" t="s">
        <v>41</v>
      </c>
      <c r="I12" s="11">
        <v>46218</v>
      </c>
      <c r="J12" s="3" t="s">
        <v>54</v>
      </c>
    </row>
    <row r="13" spans="1:10" ht="58.05" customHeight="1" x14ac:dyDescent="0.25">
      <c r="A13" s="3">
        <f t="shared" si="0"/>
        <v>10</v>
      </c>
      <c r="B13" s="3" t="s">
        <v>57</v>
      </c>
      <c r="C13" s="3" t="s">
        <v>21</v>
      </c>
      <c r="D13" s="3" t="s">
        <v>58</v>
      </c>
      <c r="E13" s="3" t="s">
        <v>59</v>
      </c>
      <c r="F13" s="10" t="s">
        <v>24</v>
      </c>
      <c r="G13" s="3" t="s">
        <v>25</v>
      </c>
      <c r="H13" s="3" t="s">
        <v>26</v>
      </c>
      <c r="I13" s="11">
        <v>46218</v>
      </c>
      <c r="J13" s="3" t="s">
        <v>27</v>
      </c>
    </row>
    <row r="14" spans="1:10" ht="58.05" customHeight="1" x14ac:dyDescent="0.25">
      <c r="A14" s="3">
        <f t="shared" si="0"/>
        <v>11</v>
      </c>
      <c r="B14" s="3" t="s">
        <v>60</v>
      </c>
      <c r="C14" s="3" t="s">
        <v>61</v>
      </c>
      <c r="D14" s="3" t="s">
        <v>58</v>
      </c>
      <c r="E14" s="3" t="s">
        <v>62</v>
      </c>
      <c r="F14" s="10" t="s">
        <v>53</v>
      </c>
      <c r="G14" s="3" t="s">
        <v>32</v>
      </c>
      <c r="H14" s="3" t="s">
        <v>63</v>
      </c>
      <c r="I14" s="11">
        <v>46218</v>
      </c>
      <c r="J14" s="3" t="s">
        <v>64</v>
      </c>
    </row>
    <row r="15" spans="1:10" ht="58.05" customHeight="1" x14ac:dyDescent="0.25">
      <c r="A15" s="3">
        <f t="shared" si="0"/>
        <v>12</v>
      </c>
      <c r="B15" s="3" t="s">
        <v>65</v>
      </c>
      <c r="C15" s="3" t="s">
        <v>61</v>
      </c>
      <c r="D15" s="3" t="s">
        <v>58</v>
      </c>
      <c r="E15" s="3" t="s">
        <v>66</v>
      </c>
      <c r="F15" s="10" t="s">
        <v>67</v>
      </c>
      <c r="G15" s="3" t="s">
        <v>32</v>
      </c>
      <c r="H15" s="3" t="s">
        <v>63</v>
      </c>
      <c r="I15" s="11">
        <v>46218</v>
      </c>
      <c r="J15" s="3" t="s">
        <v>64</v>
      </c>
    </row>
    <row r="16" spans="1:10" ht="58.05" customHeight="1" x14ac:dyDescent="0.25">
      <c r="A16" s="3">
        <f t="shared" si="0"/>
        <v>13</v>
      </c>
      <c r="B16" s="3" t="s">
        <v>68</v>
      </c>
      <c r="C16" s="3" t="s">
        <v>69</v>
      </c>
      <c r="D16" s="3" t="s">
        <v>58</v>
      </c>
      <c r="E16" s="3" t="s">
        <v>70</v>
      </c>
      <c r="F16" s="10" t="s">
        <v>71</v>
      </c>
      <c r="G16" s="3" t="s">
        <v>25</v>
      </c>
      <c r="H16" s="3" t="s">
        <v>41</v>
      </c>
      <c r="I16" s="11">
        <v>46218</v>
      </c>
      <c r="J16" s="3" t="s">
        <v>72</v>
      </c>
    </row>
    <row r="17" spans="1:10" ht="58.05" customHeight="1" x14ac:dyDescent="0.25">
      <c r="A17" s="3">
        <f t="shared" si="0"/>
        <v>14</v>
      </c>
      <c r="B17" s="3" t="s">
        <v>73</v>
      </c>
      <c r="C17" s="3" t="s">
        <v>74</v>
      </c>
      <c r="D17" s="3" t="s">
        <v>58</v>
      </c>
      <c r="E17" s="3" t="s">
        <v>75</v>
      </c>
      <c r="F17" s="10" t="s">
        <v>40</v>
      </c>
      <c r="G17" s="3" t="s">
        <v>25</v>
      </c>
      <c r="H17" s="3" t="s">
        <v>41</v>
      </c>
      <c r="I17" s="11">
        <v>46218</v>
      </c>
      <c r="J17" s="3" t="s">
        <v>76</v>
      </c>
    </row>
    <row r="18" spans="1:10" ht="58.05" customHeight="1" x14ac:dyDescent="0.25">
      <c r="A18" s="3">
        <f t="shared" si="0"/>
        <v>15</v>
      </c>
      <c r="B18" s="3" t="s">
        <v>77</v>
      </c>
      <c r="C18" s="3" t="s">
        <v>48</v>
      </c>
      <c r="D18" s="3" t="s">
        <v>58</v>
      </c>
      <c r="E18" s="3" t="s">
        <v>78</v>
      </c>
      <c r="F18" s="10" t="s">
        <v>71</v>
      </c>
      <c r="G18" s="3" t="s">
        <v>25</v>
      </c>
      <c r="H18" s="3" t="s">
        <v>33</v>
      </c>
      <c r="I18" s="11">
        <v>46218</v>
      </c>
      <c r="J18" s="3" t="s">
        <v>79</v>
      </c>
    </row>
    <row r="19" spans="1:10" ht="58.05" customHeight="1" x14ac:dyDescent="0.25">
      <c r="A19" s="3">
        <f t="shared" si="0"/>
        <v>16</v>
      </c>
      <c r="B19" s="3" t="s">
        <v>80</v>
      </c>
      <c r="C19" s="3" t="s">
        <v>21</v>
      </c>
      <c r="D19" s="3" t="s">
        <v>81</v>
      </c>
      <c r="E19" s="3" t="s">
        <v>82</v>
      </c>
      <c r="F19" s="10" t="s">
        <v>24</v>
      </c>
      <c r="G19" s="3" t="s">
        <v>25</v>
      </c>
      <c r="H19" s="3" t="s">
        <v>33</v>
      </c>
      <c r="I19" s="11">
        <v>46218</v>
      </c>
      <c r="J19" s="3" t="s">
        <v>27</v>
      </c>
    </row>
    <row r="20" spans="1:10" ht="58.05" customHeight="1" x14ac:dyDescent="0.25">
      <c r="A20" s="3">
        <f t="shared" si="0"/>
        <v>17</v>
      </c>
      <c r="B20" s="3" t="s">
        <v>83</v>
      </c>
      <c r="C20" s="3" t="s">
        <v>84</v>
      </c>
      <c r="D20" s="3" t="s">
        <v>81</v>
      </c>
      <c r="E20" s="3" t="s">
        <v>85</v>
      </c>
      <c r="F20" s="10" t="s">
        <v>86</v>
      </c>
      <c r="G20" s="3" t="s">
        <v>32</v>
      </c>
      <c r="H20" s="3" t="s">
        <v>63</v>
      </c>
      <c r="I20" s="11">
        <v>46218</v>
      </c>
      <c r="J20" s="3" t="s">
        <v>64</v>
      </c>
    </row>
    <row r="21" spans="1:10" ht="58.05" customHeight="1" x14ac:dyDescent="0.25">
      <c r="A21" s="3">
        <f t="shared" si="0"/>
        <v>18</v>
      </c>
      <c r="B21" s="3" t="s">
        <v>87</v>
      </c>
      <c r="C21" s="3" t="s">
        <v>88</v>
      </c>
      <c r="D21" s="3" t="s">
        <v>81</v>
      </c>
      <c r="E21" s="3" t="s">
        <v>89</v>
      </c>
      <c r="F21" s="10" t="s">
        <v>40</v>
      </c>
      <c r="G21" s="3" t="s">
        <v>32</v>
      </c>
      <c r="H21" s="3" t="s">
        <v>41</v>
      </c>
      <c r="I21" s="11">
        <v>46218</v>
      </c>
      <c r="J21" s="3" t="s">
        <v>90</v>
      </c>
    </row>
    <row r="22" spans="1:10" ht="58.05" customHeight="1" x14ac:dyDescent="0.25">
      <c r="A22" s="3">
        <f t="shared" si="0"/>
        <v>19</v>
      </c>
      <c r="B22" s="3" t="s">
        <v>91</v>
      </c>
      <c r="C22" s="3" t="s">
        <v>88</v>
      </c>
      <c r="D22" s="3" t="s">
        <v>81</v>
      </c>
      <c r="E22" s="3" t="s">
        <v>92</v>
      </c>
      <c r="F22" s="10" t="s">
        <v>40</v>
      </c>
      <c r="G22" s="3" t="s">
        <v>25</v>
      </c>
      <c r="H22" s="3" t="s">
        <v>41</v>
      </c>
      <c r="I22" s="11">
        <v>46218</v>
      </c>
      <c r="J22" s="3" t="s">
        <v>90</v>
      </c>
    </row>
    <row r="23" spans="1:10" ht="58.05" customHeight="1" x14ac:dyDescent="0.25">
      <c r="A23" s="3">
        <f t="shared" si="0"/>
        <v>20</v>
      </c>
      <c r="B23" s="3" t="s">
        <v>93</v>
      </c>
      <c r="C23" s="3" t="s">
        <v>94</v>
      </c>
      <c r="D23" s="3" t="s">
        <v>95</v>
      </c>
      <c r="E23" s="3" t="s">
        <v>96</v>
      </c>
      <c r="F23" s="10" t="s">
        <v>46</v>
      </c>
      <c r="G23" s="3" t="s">
        <v>25</v>
      </c>
      <c r="H23" s="3" t="s">
        <v>41</v>
      </c>
      <c r="I23" s="11">
        <v>46218</v>
      </c>
      <c r="J23" s="3" t="s">
        <v>97</v>
      </c>
    </row>
    <row r="24" spans="1:10" ht="58.05" customHeight="1" x14ac:dyDescent="0.25">
      <c r="A24" s="3">
        <f t="shared" si="0"/>
        <v>21</v>
      </c>
      <c r="B24" s="3" t="s">
        <v>98</v>
      </c>
      <c r="C24" s="3" t="s">
        <v>99</v>
      </c>
      <c r="D24" s="3" t="s">
        <v>81</v>
      </c>
      <c r="E24" s="3" t="s">
        <v>100</v>
      </c>
      <c r="F24" s="10" t="s">
        <v>101</v>
      </c>
      <c r="G24" s="3" t="s">
        <v>25</v>
      </c>
      <c r="H24" s="3" t="s">
        <v>33</v>
      </c>
      <c r="I24" s="11">
        <v>46218</v>
      </c>
      <c r="J24" s="3" t="s">
        <v>102</v>
      </c>
    </row>
    <row r="25" spans="1:10" ht="58.05" customHeight="1" x14ac:dyDescent="0.25">
      <c r="A25" s="3">
        <f t="shared" si="0"/>
        <v>22</v>
      </c>
      <c r="B25" s="3" t="s">
        <v>103</v>
      </c>
      <c r="C25" s="3" t="s">
        <v>104</v>
      </c>
      <c r="D25" s="3" t="s">
        <v>81</v>
      </c>
      <c r="E25" s="3" t="s">
        <v>105</v>
      </c>
      <c r="F25" s="10" t="s">
        <v>106</v>
      </c>
      <c r="G25" s="3" t="s">
        <v>107</v>
      </c>
      <c r="H25" s="3" t="s">
        <v>41</v>
      </c>
      <c r="I25" s="11">
        <v>46218</v>
      </c>
      <c r="J25" s="3" t="s">
        <v>102</v>
      </c>
    </row>
    <row r="26" spans="1:10" ht="58.05" customHeight="1" x14ac:dyDescent="0.25">
      <c r="A26" s="3">
        <f t="shared" si="0"/>
        <v>23</v>
      </c>
      <c r="B26" s="3" t="s">
        <v>108</v>
      </c>
      <c r="C26" s="3" t="s">
        <v>69</v>
      </c>
      <c r="D26" s="3" t="s">
        <v>81</v>
      </c>
      <c r="E26" s="3" t="s">
        <v>109</v>
      </c>
      <c r="F26" s="10" t="s">
        <v>40</v>
      </c>
      <c r="G26" s="3" t="s">
        <v>25</v>
      </c>
      <c r="H26" s="3" t="s">
        <v>41</v>
      </c>
      <c r="I26" s="11">
        <v>46218</v>
      </c>
      <c r="J26" s="3" t="s">
        <v>72</v>
      </c>
    </row>
    <row r="27" spans="1:10" ht="58.05" customHeight="1" x14ac:dyDescent="0.25">
      <c r="A27" s="3">
        <f t="shared" si="0"/>
        <v>24</v>
      </c>
      <c r="B27" s="3" t="s">
        <v>110</v>
      </c>
      <c r="C27" s="3" t="s">
        <v>69</v>
      </c>
      <c r="D27" s="3" t="s">
        <v>81</v>
      </c>
      <c r="E27" s="3" t="s">
        <v>111</v>
      </c>
      <c r="F27" s="10" t="s">
        <v>71</v>
      </c>
      <c r="G27" s="3" t="s">
        <v>25</v>
      </c>
      <c r="H27" s="3" t="s">
        <v>41</v>
      </c>
      <c r="I27" s="11">
        <v>46218</v>
      </c>
      <c r="J27" s="3" t="s">
        <v>72</v>
      </c>
    </row>
    <row r="28" spans="1:10" ht="58.05" customHeight="1" x14ac:dyDescent="0.25">
      <c r="A28" s="3">
        <f t="shared" si="0"/>
        <v>25</v>
      </c>
      <c r="B28" s="3" t="s">
        <v>112</v>
      </c>
      <c r="C28" s="3" t="s">
        <v>74</v>
      </c>
      <c r="D28" s="3" t="s">
        <v>81</v>
      </c>
      <c r="E28" s="3" t="s">
        <v>113</v>
      </c>
      <c r="F28" s="10" t="s">
        <v>40</v>
      </c>
      <c r="G28" s="3" t="s">
        <v>25</v>
      </c>
      <c r="H28" s="3" t="s">
        <v>41</v>
      </c>
      <c r="I28" s="11">
        <v>46218</v>
      </c>
      <c r="J28" s="3" t="s">
        <v>114</v>
      </c>
    </row>
    <row r="29" spans="1:10" ht="58.05" customHeight="1" x14ac:dyDescent="0.25">
      <c r="A29" s="3">
        <f t="shared" si="0"/>
        <v>26</v>
      </c>
      <c r="B29" s="3" t="s">
        <v>115</v>
      </c>
      <c r="C29" s="3" t="s">
        <v>51</v>
      </c>
      <c r="D29" s="3" t="s">
        <v>81</v>
      </c>
      <c r="E29" s="3" t="s">
        <v>116</v>
      </c>
      <c r="F29" s="10" t="s">
        <v>117</v>
      </c>
      <c r="G29" s="3" t="s">
        <v>25</v>
      </c>
      <c r="H29" s="3" t="s">
        <v>41</v>
      </c>
      <c r="I29" s="11">
        <v>46218</v>
      </c>
      <c r="J29" s="3" t="s">
        <v>54</v>
      </c>
    </row>
    <row r="30" spans="1:10" ht="58.05" customHeight="1" x14ac:dyDescent="0.25">
      <c r="A30" s="3">
        <f t="shared" si="0"/>
        <v>27</v>
      </c>
      <c r="B30" s="3" t="s">
        <v>118</v>
      </c>
      <c r="C30" s="3" t="s">
        <v>119</v>
      </c>
      <c r="D30" s="3" t="s">
        <v>81</v>
      </c>
      <c r="E30" s="3" t="s">
        <v>120</v>
      </c>
      <c r="F30" s="10" t="s">
        <v>121</v>
      </c>
      <c r="G30" s="3" t="s">
        <v>25</v>
      </c>
      <c r="H30" s="3" t="s">
        <v>41</v>
      </c>
      <c r="I30" s="11">
        <v>46218</v>
      </c>
      <c r="J30" s="3" t="s">
        <v>122</v>
      </c>
    </row>
    <row r="31" spans="1:10" ht="58.05" customHeight="1" x14ac:dyDescent="0.25">
      <c r="A31" s="3">
        <f t="shared" si="0"/>
        <v>28</v>
      </c>
      <c r="B31" s="3" t="s">
        <v>123</v>
      </c>
      <c r="C31" s="3" t="s">
        <v>124</v>
      </c>
      <c r="D31" s="3" t="s">
        <v>124</v>
      </c>
      <c r="E31" s="3" t="s">
        <v>125</v>
      </c>
      <c r="F31" s="10" t="s">
        <v>126</v>
      </c>
      <c r="G31" s="3" t="s">
        <v>25</v>
      </c>
      <c r="H31" s="3" t="s">
        <v>33</v>
      </c>
      <c r="I31" s="11">
        <v>46218</v>
      </c>
      <c r="J31" s="3" t="s">
        <v>127</v>
      </c>
    </row>
    <row r="32" spans="1:10" ht="58.05" customHeight="1" x14ac:dyDescent="0.25">
      <c r="A32" s="3">
        <f t="shared" si="0"/>
        <v>29</v>
      </c>
      <c r="B32" s="3" t="s">
        <v>128</v>
      </c>
      <c r="C32" s="3" t="s">
        <v>129</v>
      </c>
      <c r="D32" s="3" t="s">
        <v>124</v>
      </c>
      <c r="E32" s="3" t="s">
        <v>130</v>
      </c>
      <c r="F32" s="10" t="s">
        <v>86</v>
      </c>
      <c r="G32" s="3" t="s">
        <v>107</v>
      </c>
      <c r="H32" s="3" t="s">
        <v>41</v>
      </c>
      <c r="I32" s="11">
        <v>46218</v>
      </c>
      <c r="J32" s="3" t="s">
        <v>102</v>
      </c>
    </row>
    <row r="33" spans="1:10" ht="58.05" customHeight="1" x14ac:dyDescent="0.25">
      <c r="A33" s="3">
        <f t="shared" si="0"/>
        <v>30</v>
      </c>
      <c r="B33" s="3" t="s">
        <v>131</v>
      </c>
      <c r="C33" s="3" t="s">
        <v>69</v>
      </c>
      <c r="D33" s="3" t="s">
        <v>124</v>
      </c>
      <c r="E33" s="3" t="s">
        <v>132</v>
      </c>
      <c r="F33" s="10" t="s">
        <v>53</v>
      </c>
      <c r="G33" s="3" t="s">
        <v>25</v>
      </c>
      <c r="H33" s="3" t="s">
        <v>41</v>
      </c>
      <c r="I33" s="11">
        <v>46218</v>
      </c>
      <c r="J33" s="3" t="s">
        <v>72</v>
      </c>
    </row>
    <row r="34" spans="1:10" ht="58.05" customHeight="1" x14ac:dyDescent="0.25">
      <c r="A34" s="3">
        <f t="shared" si="0"/>
        <v>31</v>
      </c>
      <c r="B34" s="3" t="s">
        <v>133</v>
      </c>
      <c r="C34" s="3" t="s">
        <v>134</v>
      </c>
      <c r="D34" s="3" t="s">
        <v>124</v>
      </c>
      <c r="E34" s="3" t="s">
        <v>135</v>
      </c>
      <c r="F34" s="10" t="s">
        <v>136</v>
      </c>
      <c r="G34" s="3" t="s">
        <v>32</v>
      </c>
      <c r="H34" s="3" t="s">
        <v>41</v>
      </c>
      <c r="I34" s="11">
        <v>46218</v>
      </c>
      <c r="J34" s="3" t="s">
        <v>137</v>
      </c>
    </row>
    <row r="35" spans="1:10" ht="58.05" customHeight="1" x14ac:dyDescent="0.25">
      <c r="A35" s="3">
        <f t="shared" si="0"/>
        <v>32</v>
      </c>
      <c r="B35" s="3" t="s">
        <v>138</v>
      </c>
      <c r="C35" s="3" t="s">
        <v>119</v>
      </c>
      <c r="D35" s="3" t="s">
        <v>124</v>
      </c>
      <c r="E35" s="3" t="s">
        <v>139</v>
      </c>
      <c r="F35" s="10" t="s">
        <v>53</v>
      </c>
      <c r="G35" s="3" t="s">
        <v>25</v>
      </c>
      <c r="H35" s="3" t="s">
        <v>41</v>
      </c>
      <c r="I35" s="11">
        <v>46218</v>
      </c>
      <c r="J35" s="3" t="s">
        <v>122</v>
      </c>
    </row>
    <row r="36" spans="1:10" ht="58.05" customHeight="1" x14ac:dyDescent="0.25">
      <c r="A36" s="3">
        <f t="shared" si="0"/>
        <v>33</v>
      </c>
      <c r="B36" s="3" t="s">
        <v>140</v>
      </c>
      <c r="C36" s="3" t="s">
        <v>141</v>
      </c>
      <c r="D36" s="3" t="s">
        <v>142</v>
      </c>
      <c r="E36" s="3" t="s">
        <v>143</v>
      </c>
      <c r="F36" s="10" t="s">
        <v>101</v>
      </c>
      <c r="G36" s="3" t="s">
        <v>144</v>
      </c>
      <c r="H36" s="3" t="s">
        <v>41</v>
      </c>
      <c r="I36" s="11">
        <v>46218</v>
      </c>
      <c r="J36" s="3" t="s">
        <v>102</v>
      </c>
    </row>
    <row r="37" spans="1:10" ht="58.05" customHeight="1" x14ac:dyDescent="0.25">
      <c r="A37" s="3">
        <f t="shared" si="0"/>
        <v>34</v>
      </c>
      <c r="B37" s="3" t="s">
        <v>145</v>
      </c>
      <c r="C37" s="3" t="s">
        <v>141</v>
      </c>
      <c r="D37" s="3" t="s">
        <v>142</v>
      </c>
      <c r="E37" s="3" t="s">
        <v>146</v>
      </c>
      <c r="F37" s="10" t="s">
        <v>147</v>
      </c>
      <c r="G37" s="3" t="s">
        <v>148</v>
      </c>
      <c r="H37" s="3" t="s">
        <v>41</v>
      </c>
      <c r="I37" s="11">
        <v>46218</v>
      </c>
      <c r="J37" s="3" t="s">
        <v>149</v>
      </c>
    </row>
    <row r="38" spans="1:10" ht="58.05" customHeight="1" x14ac:dyDescent="0.25">
      <c r="A38" s="3">
        <f t="shared" si="0"/>
        <v>35</v>
      </c>
      <c r="B38" s="3" t="s">
        <v>150</v>
      </c>
      <c r="C38" s="3" t="s">
        <v>151</v>
      </c>
      <c r="D38" s="3" t="s">
        <v>152</v>
      </c>
      <c r="E38" s="3" t="s">
        <v>300</v>
      </c>
      <c r="F38" s="10" t="s">
        <v>86</v>
      </c>
      <c r="G38" s="3" t="s">
        <v>153</v>
      </c>
      <c r="H38" s="3" t="s">
        <v>154</v>
      </c>
      <c r="I38" s="11">
        <v>46218</v>
      </c>
      <c r="J38" s="3" t="s">
        <v>155</v>
      </c>
    </row>
  </sheetData>
  <autoFilter ref="A3:J38" xr:uid="{00000000-0009-0000-0000-000000000000}"/>
  <conditionalFormatting sqref="G4:G38">
    <cfRule type="expression" dxfId="17" priority="1">
      <formula>OR(ISNUMBER(SEARCH("Done",G4)),ISNUMBER(SEARCH("Closed",G4)),ISNUMBER(SEARCH("Complete",G4)),ISNUMBER(SEARCH("Resolved",G4)))</formula>
    </cfRule>
    <cfRule type="expression" dxfId="16" priority="2">
      <formula>OR(ISNUMBER(SEARCH("pending",G4)),ISNUMBER(SEARCH("review",G4)),ISNUMBER(SEARCH("Expected",G4)))</formula>
    </cfRule>
    <cfRule type="expression" dxfId="15" priority="3">
      <formula>OR(ISNUMBER(SEARCH("Open",G4)),ISNUMBER(SEARCH("required",G4)),ISNUMBER(SEARCH("gap",G4)))</formula>
    </cfRule>
  </conditionalFormatting>
  <dataValidations count="1">
    <dataValidation type="list" sqref="G4:G38" xr:uid="{00000000-0002-0000-0000-000000000000}">
      <formula1>"Done,Validation pending,Closure evidence review,Open"</formula1>
    </dataValidation>
  </dataValidations>
  <pageMargins left="0.25" right="0.25" top="0.4" bottom="0.4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autoPageBreaks="0" fitToPage="1"/>
  </sheetPr>
  <dimension ref="A1:I9"/>
  <sheetViews>
    <sheetView showGridLines="0" zoomScaleNormal="100" workbookViewId="0">
      <pane ySplit="5" topLeftCell="A6" activePane="bottomLeft" state="frozen"/>
      <selection pane="bottomLeft" activeCell="A2" sqref="A2"/>
    </sheetView>
  </sheetViews>
  <sheetFormatPr defaultColWidth="10.77734375" defaultRowHeight="13.2" x14ac:dyDescent="0.25"/>
  <cols>
    <col min="1" max="1" width="5" style="1" customWidth="1"/>
    <col min="2" max="2" width="38" style="2" customWidth="1"/>
    <col min="3" max="3" width="14" style="2" customWidth="1"/>
    <col min="4" max="4" width="55" style="2" customWidth="1"/>
    <col min="5" max="5" width="18" style="2" bestFit="1" customWidth="1"/>
    <col min="6" max="8" width="24" style="2" customWidth="1"/>
    <col min="9" max="9" width="38" style="2" customWidth="1"/>
    <col min="10" max="11" width="10.77734375" style="2" customWidth="1"/>
    <col min="12" max="16384" width="10.77734375" style="2"/>
  </cols>
  <sheetData>
    <row r="1" spans="1:9" ht="18" customHeight="1" x14ac:dyDescent="0.25">
      <c r="A1" s="9" t="s">
        <v>156</v>
      </c>
    </row>
    <row r="2" spans="1:9" x14ac:dyDescent="0.25">
      <c r="A2" s="8" t="s">
        <v>157</v>
      </c>
    </row>
    <row r="3" spans="1:9" x14ac:dyDescent="0.25">
      <c r="A3" s="8" t="s">
        <v>158</v>
      </c>
    </row>
    <row r="4" spans="1:9" x14ac:dyDescent="0.25">
      <c r="A4" s="8" t="s">
        <v>159</v>
      </c>
    </row>
    <row r="5" spans="1:9" ht="13.95" customHeight="1" x14ac:dyDescent="0.25">
      <c r="A5" s="5" t="s">
        <v>2</v>
      </c>
      <c r="B5" s="4" t="s">
        <v>160</v>
      </c>
      <c r="C5" s="4" t="s">
        <v>161</v>
      </c>
      <c r="D5" s="4" t="s">
        <v>6</v>
      </c>
      <c r="E5" s="4" t="s">
        <v>7</v>
      </c>
      <c r="F5" s="4" t="s">
        <v>8</v>
      </c>
      <c r="G5" s="6" t="s">
        <v>162</v>
      </c>
      <c r="H5" s="6" t="s">
        <v>163</v>
      </c>
      <c r="I5" s="4" t="s">
        <v>164</v>
      </c>
    </row>
    <row r="6" spans="1:9" ht="55.05" customHeight="1" x14ac:dyDescent="0.25">
      <c r="A6" s="3">
        <f>ROW()-5</f>
        <v>1</v>
      </c>
      <c r="B6" s="3" t="s">
        <v>165</v>
      </c>
      <c r="C6" s="3" t="s">
        <v>166</v>
      </c>
      <c r="D6" s="3" t="s">
        <v>167</v>
      </c>
      <c r="E6" s="10" t="s">
        <v>121</v>
      </c>
      <c r="F6" s="3" t="s">
        <v>25</v>
      </c>
      <c r="G6" s="12" t="s">
        <v>168</v>
      </c>
      <c r="H6" s="12" t="s">
        <v>169</v>
      </c>
      <c r="I6" s="3" t="s">
        <v>170</v>
      </c>
    </row>
    <row r="7" spans="1:9" ht="55.05" customHeight="1" x14ac:dyDescent="0.25">
      <c r="A7" s="3">
        <f>ROW()-5</f>
        <v>2</v>
      </c>
      <c r="B7" s="3" t="s">
        <v>171</v>
      </c>
      <c r="C7" s="3" t="s">
        <v>172</v>
      </c>
      <c r="D7" s="3" t="s">
        <v>173</v>
      </c>
      <c r="E7" s="10" t="s">
        <v>16</v>
      </c>
      <c r="F7" s="3" t="s">
        <v>174</v>
      </c>
      <c r="G7" s="12" t="s">
        <v>175</v>
      </c>
      <c r="H7" s="12" t="s">
        <v>176</v>
      </c>
      <c r="I7" s="3" t="s">
        <v>177</v>
      </c>
    </row>
    <row r="8" spans="1:9" ht="55.05" customHeight="1" x14ac:dyDescent="0.25">
      <c r="A8" s="3">
        <f>ROW()-5</f>
        <v>3</v>
      </c>
      <c r="B8" s="3" t="s">
        <v>178</v>
      </c>
      <c r="C8" s="3" t="s">
        <v>179</v>
      </c>
      <c r="D8" s="3" t="s">
        <v>180</v>
      </c>
      <c r="E8" s="10" t="s">
        <v>46</v>
      </c>
      <c r="F8" s="3" t="s">
        <v>25</v>
      </c>
      <c r="G8" s="12" t="s">
        <v>181</v>
      </c>
      <c r="H8" s="12" t="s">
        <v>176</v>
      </c>
      <c r="I8" s="3" t="s">
        <v>182</v>
      </c>
    </row>
    <row r="9" spans="1:9" ht="55.05" customHeight="1" x14ac:dyDescent="0.25">
      <c r="A9" s="3">
        <f>ROW()-5</f>
        <v>4</v>
      </c>
      <c r="B9" s="3" t="s">
        <v>183</v>
      </c>
      <c r="C9" s="3" t="s">
        <v>184</v>
      </c>
      <c r="D9" s="3" t="s">
        <v>185</v>
      </c>
      <c r="E9" s="10" t="s">
        <v>147</v>
      </c>
      <c r="F9" s="3" t="s">
        <v>25</v>
      </c>
      <c r="G9" s="12" t="s">
        <v>186</v>
      </c>
      <c r="H9" s="12" t="s">
        <v>176</v>
      </c>
      <c r="I9" s="3" t="s">
        <v>187</v>
      </c>
    </row>
  </sheetData>
  <autoFilter ref="A5:I9" xr:uid="{00000000-0009-0000-0000-000001000000}"/>
  <conditionalFormatting sqref="F6:F9">
    <cfRule type="expression" dxfId="14" priority="1">
      <formula>OR(ISNUMBER(SEARCH("Done",F6)),ISNUMBER(SEARCH("Closed",F6)),ISNUMBER(SEARCH("Complete",F6)),ISNUMBER(SEARCH("Resolved",F6)))</formula>
    </cfRule>
    <cfRule type="expression" dxfId="13" priority="2">
      <formula>OR(ISNUMBER(SEARCH("pending",F6)),ISNUMBER(SEARCH("review",F6)),ISNUMBER(SEARCH("Expected",F6)))</formula>
    </cfRule>
    <cfRule type="expression" dxfId="12" priority="3">
      <formula>OR(ISNUMBER(SEARCH("Open",F6)),ISNUMBER(SEARCH("required",F6)),ISNUMBER(SEARCH("gap",F6)))</formula>
    </cfRule>
  </conditionalFormatting>
  <dataValidations count="1">
    <dataValidation type="list" sqref="F6:F9" xr:uid="{00000000-0002-0000-0100-000000000000}">
      <formula1>"Done,Validation pending,Closure review,Open"</formula1>
    </dataValidation>
  </dataValidations>
  <pageMargins left="0.25" right="0.25" top="0.4" bottom="0.4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  <pageSetUpPr autoPageBreaks="0" fitToPage="1"/>
  </sheetPr>
  <dimension ref="A1:I9"/>
  <sheetViews>
    <sheetView showGridLines="0" zoomScaleNormal="100" workbookViewId="0">
      <pane ySplit="5" topLeftCell="A6" activePane="bottomLeft" state="frozen"/>
      <selection pane="bottomLeft" activeCell="G16" sqref="G16"/>
    </sheetView>
  </sheetViews>
  <sheetFormatPr defaultColWidth="10.77734375" defaultRowHeight="13.2" x14ac:dyDescent="0.25"/>
  <cols>
    <col min="1" max="1" width="5" style="1" customWidth="1"/>
    <col min="2" max="2" width="38" style="2" customWidth="1"/>
    <col min="3" max="3" width="14" style="2" customWidth="1"/>
    <col min="4" max="4" width="55" style="2" customWidth="1"/>
    <col min="5" max="5" width="18" style="2" bestFit="1" customWidth="1"/>
    <col min="6" max="8" width="24" style="2" customWidth="1"/>
    <col min="9" max="9" width="38" style="2" customWidth="1"/>
    <col min="10" max="11" width="10.77734375" style="2" customWidth="1"/>
    <col min="12" max="16384" width="10.77734375" style="2"/>
  </cols>
  <sheetData>
    <row r="1" spans="1:9" ht="18" customHeight="1" x14ac:dyDescent="0.25">
      <c r="A1" s="9" t="s">
        <v>188</v>
      </c>
    </row>
    <row r="2" spans="1:9" x14ac:dyDescent="0.25">
      <c r="A2" s="8" t="s">
        <v>189</v>
      </c>
    </row>
    <row r="3" spans="1:9" x14ac:dyDescent="0.25">
      <c r="A3" s="8" t="s">
        <v>158</v>
      </c>
    </row>
    <row r="4" spans="1:9" x14ac:dyDescent="0.25">
      <c r="A4" s="8" t="s">
        <v>159</v>
      </c>
    </row>
    <row r="5" spans="1:9" ht="13.95" customHeight="1" x14ac:dyDescent="0.25">
      <c r="A5" s="5" t="s">
        <v>2</v>
      </c>
      <c r="B5" s="4" t="s">
        <v>160</v>
      </c>
      <c r="C5" s="4" t="s">
        <v>161</v>
      </c>
      <c r="D5" s="4" t="s">
        <v>6</v>
      </c>
      <c r="E5" s="4" t="s">
        <v>7</v>
      </c>
      <c r="F5" s="4" t="s">
        <v>8</v>
      </c>
      <c r="G5" s="6" t="s">
        <v>162</v>
      </c>
      <c r="H5" s="6" t="s">
        <v>163</v>
      </c>
      <c r="I5" s="4" t="s">
        <v>164</v>
      </c>
    </row>
    <row r="6" spans="1:9" ht="55.05" customHeight="1" x14ac:dyDescent="0.25">
      <c r="A6" s="3">
        <f>ROW()-5</f>
        <v>1</v>
      </c>
      <c r="B6" s="3" t="s">
        <v>190</v>
      </c>
      <c r="C6" s="3" t="s">
        <v>191</v>
      </c>
      <c r="D6" s="3" t="s">
        <v>192</v>
      </c>
      <c r="E6" s="10" t="s">
        <v>67</v>
      </c>
      <c r="F6" s="3" t="s">
        <v>174</v>
      </c>
      <c r="G6" s="12" t="s">
        <v>193</v>
      </c>
      <c r="H6" s="12" t="s">
        <v>176</v>
      </c>
      <c r="I6" s="3" t="s">
        <v>194</v>
      </c>
    </row>
    <row r="7" spans="1:9" ht="55.05" customHeight="1" x14ac:dyDescent="0.25">
      <c r="A7" s="3">
        <f>ROW()-5</f>
        <v>2</v>
      </c>
      <c r="B7" s="3" t="s">
        <v>195</v>
      </c>
      <c r="C7" s="3" t="s">
        <v>196</v>
      </c>
      <c r="D7" s="3" t="s">
        <v>197</v>
      </c>
      <c r="E7" s="10" t="s">
        <v>40</v>
      </c>
      <c r="F7" s="3" t="s">
        <v>174</v>
      </c>
      <c r="G7" s="12" t="s">
        <v>198</v>
      </c>
      <c r="H7" s="12" t="s">
        <v>176</v>
      </c>
      <c r="I7" s="3" t="s">
        <v>199</v>
      </c>
    </row>
    <row r="8" spans="1:9" ht="55.05" customHeight="1" x14ac:dyDescent="0.25">
      <c r="A8" s="3">
        <f>ROW()-5</f>
        <v>3</v>
      </c>
      <c r="B8" s="3" t="s">
        <v>200</v>
      </c>
      <c r="C8" s="3" t="s">
        <v>201</v>
      </c>
      <c r="D8" s="3" t="s">
        <v>202</v>
      </c>
      <c r="E8" s="10" t="s">
        <v>40</v>
      </c>
      <c r="F8" s="3" t="s">
        <v>174</v>
      </c>
      <c r="G8" s="12" t="s">
        <v>203</v>
      </c>
      <c r="H8" s="12" t="s">
        <v>176</v>
      </c>
      <c r="I8" s="3" t="s">
        <v>204</v>
      </c>
    </row>
    <row r="9" spans="1:9" ht="55.05" customHeight="1" x14ac:dyDescent="0.25">
      <c r="A9" s="3">
        <f>ROW()-5</f>
        <v>4</v>
      </c>
      <c r="B9" s="3" t="s">
        <v>205</v>
      </c>
      <c r="C9" s="3" t="s">
        <v>206</v>
      </c>
      <c r="D9" s="3" t="s">
        <v>207</v>
      </c>
      <c r="E9" s="10" t="s">
        <v>24</v>
      </c>
      <c r="F9" s="3" t="s">
        <v>25</v>
      </c>
      <c r="G9" s="12" t="s">
        <v>208</v>
      </c>
      <c r="H9" s="12" t="s">
        <v>176</v>
      </c>
      <c r="I9" s="3" t="s">
        <v>209</v>
      </c>
    </row>
  </sheetData>
  <autoFilter ref="A5:I9" xr:uid="{00000000-0009-0000-0000-000002000000}"/>
  <conditionalFormatting sqref="F6:F9">
    <cfRule type="expression" dxfId="11" priority="1">
      <formula>OR(ISNUMBER(SEARCH("Done",F6)),ISNUMBER(SEARCH("Closed",F6)),ISNUMBER(SEARCH("Complete",F6)),ISNUMBER(SEARCH("Resolved",F6)))</formula>
    </cfRule>
    <cfRule type="expression" dxfId="10" priority="2">
      <formula>OR(ISNUMBER(SEARCH("pending",F6)),ISNUMBER(SEARCH("review",F6)),ISNUMBER(SEARCH("Expected",F6)))</formula>
    </cfRule>
    <cfRule type="expression" dxfId="9" priority="3">
      <formula>OR(ISNUMBER(SEARCH("Open",F6)),ISNUMBER(SEARCH("required",F6)),ISNUMBER(SEARCH("gap",F6)))</formula>
    </cfRule>
  </conditionalFormatting>
  <dataValidations count="1">
    <dataValidation type="list" sqref="F6:F9" xr:uid="{00000000-0002-0000-0200-000000000000}">
      <formula1>"Done,Validation pending,Closure review,Open"</formula1>
    </dataValidation>
  </dataValidations>
  <pageMargins left="0.25" right="0.25" top="0.4" bottom="0.4" header="0.3" footer="0.3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  <pageSetUpPr autoPageBreaks="0" fitToPage="1"/>
  </sheetPr>
  <dimension ref="A1:I9"/>
  <sheetViews>
    <sheetView showGridLines="0" zoomScaleNormal="100" workbookViewId="0">
      <pane ySplit="5" topLeftCell="A6" activePane="bottomLeft" state="frozen"/>
      <selection pane="bottomLeft" activeCell="A2" sqref="A2"/>
    </sheetView>
  </sheetViews>
  <sheetFormatPr defaultColWidth="10.77734375" defaultRowHeight="13.2" x14ac:dyDescent="0.25"/>
  <cols>
    <col min="1" max="1" width="5" style="1" customWidth="1"/>
    <col min="2" max="2" width="38" style="2" customWidth="1"/>
    <col min="3" max="3" width="14" style="2" customWidth="1"/>
    <col min="4" max="4" width="55" style="2" customWidth="1"/>
    <col min="5" max="5" width="18" style="2" bestFit="1" customWidth="1"/>
    <col min="6" max="8" width="24" style="2" customWidth="1"/>
    <col min="9" max="9" width="38" style="2" customWidth="1"/>
    <col min="10" max="11" width="10.77734375" style="2" customWidth="1"/>
    <col min="12" max="16384" width="10.77734375" style="2"/>
  </cols>
  <sheetData>
    <row r="1" spans="1:9" ht="18" customHeight="1" x14ac:dyDescent="0.25">
      <c r="A1" s="9" t="s">
        <v>210</v>
      </c>
    </row>
    <row r="2" spans="1:9" x14ac:dyDescent="0.25">
      <c r="A2" s="8" t="s">
        <v>211</v>
      </c>
    </row>
    <row r="3" spans="1:9" x14ac:dyDescent="0.25">
      <c r="A3" s="8" t="s">
        <v>158</v>
      </c>
    </row>
    <row r="4" spans="1:9" x14ac:dyDescent="0.25">
      <c r="A4" s="8" t="s">
        <v>159</v>
      </c>
    </row>
    <row r="5" spans="1:9" ht="13.95" customHeight="1" x14ac:dyDescent="0.25">
      <c r="A5" s="5" t="s">
        <v>2</v>
      </c>
      <c r="B5" s="4" t="s">
        <v>160</v>
      </c>
      <c r="C5" s="4" t="s">
        <v>161</v>
      </c>
      <c r="D5" s="4" t="s">
        <v>6</v>
      </c>
      <c r="E5" s="4" t="s">
        <v>7</v>
      </c>
      <c r="F5" s="4" t="s">
        <v>8</v>
      </c>
      <c r="G5" s="6" t="s">
        <v>162</v>
      </c>
      <c r="H5" s="6" t="s">
        <v>163</v>
      </c>
      <c r="I5" s="4" t="s">
        <v>164</v>
      </c>
    </row>
    <row r="6" spans="1:9" ht="55.05" customHeight="1" x14ac:dyDescent="0.25">
      <c r="A6" s="3">
        <f>ROW()-5</f>
        <v>1</v>
      </c>
      <c r="B6" s="3" t="s">
        <v>212</v>
      </c>
      <c r="C6" s="3" t="s">
        <v>213</v>
      </c>
      <c r="D6" s="3" t="s">
        <v>214</v>
      </c>
      <c r="E6" s="10" t="s">
        <v>215</v>
      </c>
      <c r="F6" s="3" t="s">
        <v>174</v>
      </c>
      <c r="G6" s="12" t="s">
        <v>216</v>
      </c>
      <c r="H6" s="12" t="s">
        <v>176</v>
      </c>
      <c r="I6" s="3" t="s">
        <v>217</v>
      </c>
    </row>
    <row r="7" spans="1:9" ht="55.05" customHeight="1" x14ac:dyDescent="0.25">
      <c r="A7" s="3">
        <f>ROW()-5</f>
        <v>2</v>
      </c>
      <c r="B7" s="3" t="s">
        <v>218</v>
      </c>
      <c r="C7" s="3" t="s">
        <v>219</v>
      </c>
      <c r="D7" s="3" t="s">
        <v>220</v>
      </c>
      <c r="E7" s="10" t="s">
        <v>46</v>
      </c>
      <c r="F7" s="3" t="s">
        <v>174</v>
      </c>
      <c r="G7" s="12" t="s">
        <v>221</v>
      </c>
      <c r="H7" s="12" t="s">
        <v>176</v>
      </c>
      <c r="I7" s="3" t="s">
        <v>222</v>
      </c>
    </row>
    <row r="8" spans="1:9" ht="55.05" customHeight="1" x14ac:dyDescent="0.25">
      <c r="A8" s="3">
        <f>ROW()-5</f>
        <v>3</v>
      </c>
      <c r="B8" s="3" t="s">
        <v>223</v>
      </c>
      <c r="C8" s="3" t="s">
        <v>224</v>
      </c>
      <c r="D8" s="3" t="s">
        <v>225</v>
      </c>
      <c r="E8" s="10" t="s">
        <v>40</v>
      </c>
      <c r="F8" s="3" t="s">
        <v>25</v>
      </c>
      <c r="G8" s="12" t="s">
        <v>226</v>
      </c>
      <c r="H8" s="12" t="s">
        <v>176</v>
      </c>
      <c r="I8" s="3" t="s">
        <v>227</v>
      </c>
    </row>
    <row r="9" spans="1:9" ht="55.05" customHeight="1" x14ac:dyDescent="0.25">
      <c r="A9" s="3">
        <f>ROW()-5</f>
        <v>4</v>
      </c>
      <c r="B9" s="3" t="s">
        <v>228</v>
      </c>
      <c r="C9" s="3" t="s">
        <v>229</v>
      </c>
      <c r="D9" s="3" t="s">
        <v>230</v>
      </c>
      <c r="E9" s="10" t="s">
        <v>40</v>
      </c>
      <c r="F9" s="3" t="s">
        <v>25</v>
      </c>
      <c r="G9" s="12" t="s">
        <v>231</v>
      </c>
      <c r="H9" s="12" t="s">
        <v>176</v>
      </c>
      <c r="I9" s="3" t="s">
        <v>232</v>
      </c>
    </row>
  </sheetData>
  <autoFilter ref="A5:I9" xr:uid="{00000000-0009-0000-0000-000003000000}"/>
  <conditionalFormatting sqref="F6:F9">
    <cfRule type="expression" dxfId="8" priority="1">
      <formula>OR(ISNUMBER(SEARCH("Done",F6)),ISNUMBER(SEARCH("Closed",F6)),ISNUMBER(SEARCH("Complete",F6)),ISNUMBER(SEARCH("Resolved",F6)))</formula>
    </cfRule>
    <cfRule type="expression" dxfId="7" priority="2">
      <formula>OR(ISNUMBER(SEARCH("pending",F6)),ISNUMBER(SEARCH("review",F6)),ISNUMBER(SEARCH("Expected",F6)))</formula>
    </cfRule>
    <cfRule type="expression" dxfId="6" priority="3">
      <formula>OR(ISNUMBER(SEARCH("Open",F6)),ISNUMBER(SEARCH("required",F6)),ISNUMBER(SEARCH("gap",F6)))</formula>
    </cfRule>
  </conditionalFormatting>
  <dataValidations count="1">
    <dataValidation type="list" sqref="F6:F9" xr:uid="{00000000-0002-0000-0300-000000000000}">
      <formula1>"Done,Validation pending,Closure review,Open"</formula1>
    </dataValidation>
  </dataValidations>
  <pageMargins left="0.25" right="0.25" top="0.4" bottom="0.4" header="0.3" footer="0.3"/>
  <pageSetup paperSize="9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Right="0"/>
    <pageSetUpPr autoPageBreaks="0" fitToPage="1"/>
  </sheetPr>
  <dimension ref="A1:I10"/>
  <sheetViews>
    <sheetView showGridLines="0" zoomScaleNormal="100" workbookViewId="0">
      <pane ySplit="5" topLeftCell="A6" activePane="bottomLeft" state="frozen"/>
      <selection pane="bottomLeft" activeCell="A2" sqref="A2"/>
    </sheetView>
  </sheetViews>
  <sheetFormatPr defaultColWidth="10.77734375" defaultRowHeight="13.2" x14ac:dyDescent="0.25"/>
  <cols>
    <col min="1" max="1" width="5" style="1" customWidth="1"/>
    <col min="2" max="2" width="38" style="2" customWidth="1"/>
    <col min="3" max="3" width="14" style="2" customWidth="1"/>
    <col min="4" max="4" width="55" style="2" customWidth="1"/>
    <col min="5" max="5" width="18" style="2" bestFit="1" customWidth="1"/>
    <col min="6" max="8" width="24" style="2" customWidth="1"/>
    <col min="9" max="9" width="38" style="2" customWidth="1"/>
    <col min="10" max="11" width="10.77734375" style="2" customWidth="1"/>
    <col min="12" max="16384" width="10.77734375" style="2"/>
  </cols>
  <sheetData>
    <row r="1" spans="1:9" ht="18" customHeight="1" x14ac:dyDescent="0.25">
      <c r="A1" s="9" t="s">
        <v>233</v>
      </c>
    </row>
    <row r="2" spans="1:9" x14ac:dyDescent="0.25">
      <c r="A2" s="8" t="s">
        <v>234</v>
      </c>
    </row>
    <row r="3" spans="1:9" x14ac:dyDescent="0.25">
      <c r="A3" s="8" t="s">
        <v>158</v>
      </c>
    </row>
    <row r="4" spans="1:9" x14ac:dyDescent="0.25">
      <c r="A4" s="8" t="s">
        <v>159</v>
      </c>
    </row>
    <row r="5" spans="1:9" ht="13.95" customHeight="1" x14ac:dyDescent="0.25">
      <c r="A5" s="5" t="s">
        <v>2</v>
      </c>
      <c r="B5" s="4" t="s">
        <v>160</v>
      </c>
      <c r="C5" s="4" t="s">
        <v>161</v>
      </c>
      <c r="D5" s="4" t="s">
        <v>6</v>
      </c>
      <c r="E5" s="4" t="s">
        <v>7</v>
      </c>
      <c r="F5" s="4" t="s">
        <v>8</v>
      </c>
      <c r="G5" s="6" t="s">
        <v>162</v>
      </c>
      <c r="H5" s="6" t="s">
        <v>163</v>
      </c>
      <c r="I5" s="4" t="s">
        <v>164</v>
      </c>
    </row>
    <row r="6" spans="1:9" ht="55.05" customHeight="1" x14ac:dyDescent="0.25">
      <c r="A6" s="3">
        <f>ROW()-5</f>
        <v>1</v>
      </c>
      <c r="B6" s="3" t="s">
        <v>235</v>
      </c>
      <c r="C6" s="3" t="s">
        <v>236</v>
      </c>
      <c r="D6" s="3" t="s">
        <v>237</v>
      </c>
      <c r="E6" s="10" t="s">
        <v>238</v>
      </c>
      <c r="F6" s="3" t="s">
        <v>174</v>
      </c>
      <c r="G6" s="12" t="s">
        <v>239</v>
      </c>
      <c r="H6" s="12" t="s">
        <v>176</v>
      </c>
      <c r="I6" s="3" t="s">
        <v>240</v>
      </c>
    </row>
    <row r="7" spans="1:9" ht="55.05" customHeight="1" x14ac:dyDescent="0.25">
      <c r="A7" s="3">
        <f>ROW()-5</f>
        <v>2</v>
      </c>
      <c r="B7" s="3" t="s">
        <v>241</v>
      </c>
      <c r="C7" s="3" t="s">
        <v>242</v>
      </c>
      <c r="D7" s="3" t="s">
        <v>243</v>
      </c>
      <c r="E7" s="10" t="s">
        <v>40</v>
      </c>
      <c r="F7" s="3" t="s">
        <v>174</v>
      </c>
      <c r="G7" s="12" t="s">
        <v>244</v>
      </c>
      <c r="H7" s="12" t="s">
        <v>176</v>
      </c>
      <c r="I7" s="3" t="s">
        <v>245</v>
      </c>
    </row>
    <row r="8" spans="1:9" ht="55.05" customHeight="1" x14ac:dyDescent="0.25">
      <c r="A8" s="3">
        <f>ROW()-5</f>
        <v>3</v>
      </c>
      <c r="B8" s="3" t="s">
        <v>246</v>
      </c>
      <c r="C8" s="3" t="s">
        <v>247</v>
      </c>
      <c r="D8" s="3" t="s">
        <v>248</v>
      </c>
      <c r="E8" s="10" t="s">
        <v>249</v>
      </c>
      <c r="F8" s="3" t="s">
        <v>25</v>
      </c>
      <c r="G8" s="12" t="s">
        <v>250</v>
      </c>
      <c r="H8" s="12" t="s">
        <v>176</v>
      </c>
      <c r="I8" s="3" t="s">
        <v>251</v>
      </c>
    </row>
    <row r="9" spans="1:9" ht="55.05" customHeight="1" x14ac:dyDescent="0.25">
      <c r="A9" s="3">
        <f>ROW()-5</f>
        <v>4</v>
      </c>
      <c r="B9" s="3" t="s">
        <v>252</v>
      </c>
      <c r="C9" s="3" t="s">
        <v>253</v>
      </c>
      <c r="D9" s="3" t="s">
        <v>254</v>
      </c>
      <c r="E9" s="10" t="s">
        <v>255</v>
      </c>
      <c r="F9" s="3" t="s">
        <v>25</v>
      </c>
      <c r="G9" s="12" t="s">
        <v>168</v>
      </c>
      <c r="H9" s="12" t="s">
        <v>176</v>
      </c>
      <c r="I9" s="3" t="s">
        <v>256</v>
      </c>
    </row>
    <row r="10" spans="1:9" ht="55.05" customHeight="1" x14ac:dyDescent="0.25">
      <c r="A10" s="3">
        <f>ROW()-5</f>
        <v>5</v>
      </c>
      <c r="B10" s="3" t="s">
        <v>257</v>
      </c>
      <c r="C10" s="3" t="s">
        <v>258</v>
      </c>
      <c r="D10" s="3" t="s">
        <v>259</v>
      </c>
      <c r="E10" s="10" t="s">
        <v>86</v>
      </c>
      <c r="F10" s="3" t="s">
        <v>260</v>
      </c>
      <c r="G10" s="12" t="s">
        <v>168</v>
      </c>
      <c r="H10" s="12" t="s">
        <v>176</v>
      </c>
      <c r="I10" s="3" t="s">
        <v>261</v>
      </c>
    </row>
  </sheetData>
  <autoFilter ref="A5:I10" xr:uid="{00000000-0009-0000-0000-000004000000}"/>
  <conditionalFormatting sqref="F6:F10">
    <cfRule type="expression" dxfId="5" priority="1">
      <formula>OR(ISNUMBER(SEARCH("Done",F6)),ISNUMBER(SEARCH("Closed",F6)),ISNUMBER(SEARCH("Complete",F6)),ISNUMBER(SEARCH("Resolved",F6)))</formula>
    </cfRule>
    <cfRule type="expression" dxfId="4" priority="2">
      <formula>OR(ISNUMBER(SEARCH("pending",F6)),ISNUMBER(SEARCH("review",F6)),ISNUMBER(SEARCH("Expected",F6)))</formula>
    </cfRule>
    <cfRule type="expression" dxfId="3" priority="3">
      <formula>OR(ISNUMBER(SEARCH("Open",F6)),ISNUMBER(SEARCH("required",F6)),ISNUMBER(SEARCH("gap",F6)))</formula>
    </cfRule>
  </conditionalFormatting>
  <dataValidations count="1">
    <dataValidation type="list" sqref="F6:F10" xr:uid="{00000000-0002-0000-0400-000000000000}">
      <formula1>"Done,Validation pending,Closure review,Open"</formula1>
    </dataValidation>
  </dataValidations>
  <pageMargins left="0.25" right="0.25" top="0.4" bottom="0.4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3.2" x14ac:dyDescent="0.25"/>
  <cols>
    <col min="1" max="1" width="34" customWidth="1"/>
    <col min="2" max="2" width="20" customWidth="1"/>
    <col min="3" max="3" width="75" customWidth="1"/>
    <col min="4" max="4" width="46" customWidth="1"/>
  </cols>
  <sheetData>
    <row r="1" spans="1:4" ht="17.399999999999999" x14ac:dyDescent="0.3">
      <c r="A1" s="18" t="s">
        <v>262</v>
      </c>
      <c r="B1" s="19"/>
      <c r="C1" s="19"/>
      <c r="D1" s="19"/>
    </row>
    <row r="2" spans="1:4" x14ac:dyDescent="0.25">
      <c r="A2" s="13" t="s">
        <v>263</v>
      </c>
      <c r="B2" s="13">
        <f>COUNTIF(B5:B11,"*closed*")</f>
        <v>7</v>
      </c>
      <c r="C2" s="13" t="s">
        <v>264</v>
      </c>
      <c r="D2" s="13">
        <f>COUNTA(A5:A11)</f>
        <v>7</v>
      </c>
    </row>
    <row r="3" spans="1:4" x14ac:dyDescent="0.25">
      <c r="A3" t="s">
        <v>265</v>
      </c>
      <c r="B3" s="14" t="s">
        <v>266</v>
      </c>
    </row>
    <row r="4" spans="1:4" ht="30" customHeight="1" x14ac:dyDescent="0.25">
      <c r="A4" s="15" t="s">
        <v>267</v>
      </c>
      <c r="B4" s="15" t="s">
        <v>268</v>
      </c>
      <c r="C4" s="15" t="s">
        <v>269</v>
      </c>
      <c r="D4" s="15" t="s">
        <v>270</v>
      </c>
    </row>
    <row r="5" spans="1:4" ht="42" customHeight="1" x14ac:dyDescent="0.25">
      <c r="A5" s="16" t="s">
        <v>271</v>
      </c>
      <c r="B5" s="16" t="s">
        <v>272</v>
      </c>
      <c r="C5" s="16" t="s">
        <v>273</v>
      </c>
      <c r="D5" s="17" t="s">
        <v>274</v>
      </c>
    </row>
    <row r="6" spans="1:4" ht="42" customHeight="1" x14ac:dyDescent="0.25">
      <c r="A6" s="16" t="s">
        <v>275</v>
      </c>
      <c r="B6" s="16" t="s">
        <v>276</v>
      </c>
      <c r="C6" s="16" t="s">
        <v>277</v>
      </c>
      <c r="D6" s="17" t="s">
        <v>278</v>
      </c>
    </row>
    <row r="7" spans="1:4" ht="42" customHeight="1" x14ac:dyDescent="0.25">
      <c r="A7" s="16" t="s">
        <v>279</v>
      </c>
      <c r="B7" s="16" t="s">
        <v>280</v>
      </c>
      <c r="C7" s="16" t="s">
        <v>281</v>
      </c>
      <c r="D7" s="17" t="s">
        <v>282</v>
      </c>
    </row>
    <row r="8" spans="1:4" ht="42" customHeight="1" x14ac:dyDescent="0.25">
      <c r="A8" s="16" t="s">
        <v>283</v>
      </c>
      <c r="B8" s="16" t="s">
        <v>284</v>
      </c>
      <c r="C8" s="16" t="s">
        <v>285</v>
      </c>
      <c r="D8" s="17" t="s">
        <v>286</v>
      </c>
    </row>
    <row r="9" spans="1:4" ht="42" customHeight="1" x14ac:dyDescent="0.25">
      <c r="A9" s="16" t="s">
        <v>287</v>
      </c>
      <c r="B9" s="16" t="s">
        <v>288</v>
      </c>
      <c r="C9" s="16" t="s">
        <v>289</v>
      </c>
      <c r="D9" s="17" t="s">
        <v>290</v>
      </c>
    </row>
    <row r="10" spans="1:4" ht="42" customHeight="1" x14ac:dyDescent="0.25">
      <c r="A10" s="16" t="s">
        <v>291</v>
      </c>
      <c r="B10" s="16" t="s">
        <v>292</v>
      </c>
      <c r="C10" s="16" t="s">
        <v>293</v>
      </c>
      <c r="D10" s="17" t="s">
        <v>294</v>
      </c>
    </row>
    <row r="11" spans="1:4" ht="42" customHeight="1" x14ac:dyDescent="0.25">
      <c r="A11" s="16" t="s">
        <v>295</v>
      </c>
      <c r="B11" s="16" t="s">
        <v>296</v>
      </c>
      <c r="C11" s="16" t="s">
        <v>297</v>
      </c>
      <c r="D11" s="17" t="s">
        <v>298</v>
      </c>
    </row>
    <row r="13" spans="1:4" ht="34.950000000000003" customHeight="1" x14ac:dyDescent="0.25">
      <c r="A13" s="20" t="s">
        <v>299</v>
      </c>
      <c r="B13" s="19"/>
      <c r="C13" s="19"/>
      <c r="D13" s="19"/>
    </row>
    <row r="14" spans="1:4" x14ac:dyDescent="0.25">
      <c r="A14" s="19"/>
      <c r="B14" s="19"/>
      <c r="C14" s="19"/>
      <c r="D14" s="19"/>
    </row>
  </sheetData>
  <autoFilter ref="A4:D11" xr:uid="{00000000-0009-0000-0000-000005000000}"/>
  <mergeCells count="2">
    <mergeCell ref="A1:D1"/>
    <mergeCell ref="A13:D14"/>
  </mergeCells>
  <conditionalFormatting sqref="B5:B11">
    <cfRule type="expression" dxfId="2" priority="1">
      <formula>OR(ISNUMBER(SEARCH("Done",B5)),ISNUMBER(SEARCH("Closed",B5)),ISNUMBER(SEARCH("Complete",B5)),ISNUMBER(SEARCH("Resolved",B5)))</formula>
    </cfRule>
    <cfRule type="expression" dxfId="1" priority="2">
      <formula>OR(ISNUMBER(SEARCH("pending",B5)),ISNUMBER(SEARCH("review",B5)),ISNUMBER(SEARCH("Expected",B5)))</formula>
    </cfRule>
    <cfRule type="expression" dxfId="0" priority="3">
      <formula>OR(ISNUMBER(SEARCH("Open",B5)),ISNUMBER(SEARCH("required",B5)),ISNUMBER(SEARCH("gap",B5)))</formula>
    </cfRule>
  </conditionalFormatting>
  <hyperlinks>
    <hyperlink ref="B3" r:id="rId1" xr:uid="{00000000-0004-0000-0500-000000000000}"/>
    <hyperlink ref="D5" r:id="rId2" xr:uid="{00000000-0004-0000-0500-000001000000}"/>
    <hyperlink ref="D6" r:id="rId3" xr:uid="{00000000-0004-0000-0500-000002000000}"/>
    <hyperlink ref="D7" r:id="rId4" xr:uid="{00000000-0004-0000-0500-000003000000}"/>
    <hyperlink ref="D8" r:id="rId5" xr:uid="{00000000-0004-0000-0500-000004000000}"/>
    <hyperlink ref="D9" r:id="rId6" xr:uid="{00000000-0004-0000-0500-000005000000}"/>
    <hyperlink ref="D10" r:id="rId7" xr:uid="{00000000-0004-0000-0500-000006000000}"/>
    <hyperlink ref="D11" r:id="rId8" xr:uid="{00000000-0004-0000-0500-000007000000}"/>
  </hyperlinks>
  <pageMargins left="0.25" right="0.25" top="0.4" bottom="0.4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Project</vt:lpstr>
      <vt:lpstr>Iter1</vt:lpstr>
      <vt:lpstr>Iter2</vt:lpstr>
      <vt:lpstr>Iter3</vt:lpstr>
      <vt:lpstr>Iter4</vt:lpstr>
      <vt:lpstr>Release Gates</vt:lpstr>
      <vt:lpstr>Iter1!Print_Area</vt:lpstr>
      <vt:lpstr>Iter2!Print_Area</vt:lpstr>
      <vt:lpstr>Iter3!Print_Area</vt:lpstr>
      <vt:lpstr>Iter4!Print_Area</vt:lpstr>
      <vt:lpstr>Project!Print_Area</vt:lpstr>
      <vt:lpstr>'Release Gates'!Print_Area</vt:lpstr>
      <vt:lpstr>Iter1!Print_Titles</vt:lpstr>
      <vt:lpstr>Iter2!Print_Titles</vt:lpstr>
      <vt:lpstr>Iter3!Print_Titles</vt:lpstr>
      <vt:lpstr>Iter4!Print_Titles</vt:lpstr>
      <vt:lpstr>Project!Print_Titles</vt:lpstr>
      <vt:lpstr>'Release Gates'!Print_Titles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Phong Võ</cp:lastModifiedBy>
  <dcterms:created xsi:type="dcterms:W3CDTF">2021-07-20T01:09:05Z</dcterms:created>
  <dcterms:modified xsi:type="dcterms:W3CDTF">2026-07-22T12:28:30Z</dcterms:modified>
</cp:coreProperties>
</file>